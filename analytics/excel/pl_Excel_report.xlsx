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PunitPrep\Projects\premier-league-analytics\analytics\excel\"/>
    </mc:Choice>
  </mc:AlternateContent>
  <xr:revisionPtr revIDLastSave="0" documentId="8_{1DDF050E-FE22-4C6D-9883-2073FC084504}" xr6:coauthVersionLast="47" xr6:coauthVersionMax="47" xr10:uidLastSave="{00000000-0000-0000-0000-000000000000}"/>
  <bookViews>
    <workbookView xWindow="0" yWindow="0" windowWidth="14400" windowHeight="16200" firstSheet="2" activeTab="3" xr2:uid="{E121E948-16AF-4D5D-BF17-4257D3C5D354}"/>
  </bookViews>
  <sheets>
    <sheet name="Refresh" sheetId="10" r:id="rId1"/>
    <sheet name="Fixtures" sheetId="9" r:id="rId2"/>
    <sheet name="Players" sheetId="8" r:id="rId3"/>
    <sheet name="Briefing" sheetId="1" r:id="rId4"/>
    <sheet name="Fixture Ticker" sheetId="11" r:id="rId5"/>
    <sheet name="Watchlist" sheetId="12" r:id="rId6"/>
  </sheets>
  <definedNames>
    <definedName name="_xlcn.WorksheetConnection_pl_Excel_report.xlsxPlayers1" hidden="1">Players[]</definedName>
    <definedName name="ExternalData_2" localSheetId="2" hidden="1">Players!$A$1:$S$244</definedName>
    <definedName name="ExternalData_3" localSheetId="2" hidden="1">Players!$A$249:$D$909</definedName>
    <definedName name="ExternalData_3" localSheetId="0" hidden="1">'Refresh'!$A$1:$F$2</definedName>
    <definedName name="Slicer_price_band">#N/A</definedName>
  </definedNames>
  <calcPr calcId="191029"/>
  <pivotCaches>
    <pivotCache cacheId="465" r:id="rId7"/>
    <pivotCache cacheId="469" r:id="rId8"/>
    <pivotCache cacheId="472" r:id="rId9"/>
  </pivotCaches>
  <extLst>
    <ext xmlns:x14="http://schemas.microsoft.com/office/spreadsheetml/2009/9/main" uri="{876F7934-8845-4945-9796-88D515C7AA90}">
      <x14:pivotCaches>
        <pivotCache cacheId="468"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ixtures_be18303d-3b21-46dd-969f-bec134e60c0c" name="Fixtures" connection="Query - Fixtures"/>
          <x15:modelTable id="Players_3cd40958-c78b-47bd-a1b8-d9b5751af19a" name="Players" connection="Query - Players"/>
          <x15:modelTable id="Players 1" name="Players 1" connection="WorksheetConnection_pl_Excel_report.xlsx!Player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 i="1" l="1" a="1"/>
  <c r="J1" i="1" s="1"/>
  <c r="C1" i="12" a="1"/>
  <c r="C1" i="12" s="1"/>
  <c r="H16" i="1"/>
  <c r="H17" i="1"/>
  <c r="H18" i="1"/>
  <c r="H19" i="1"/>
  <c r="H20" i="1"/>
  <c r="H21" i="1"/>
  <c r="H22" i="1"/>
  <c r="H23" i="1"/>
  <c r="H24" i="1"/>
  <c r="H15" i="1"/>
  <c r="I16" i="1"/>
  <c r="I17" i="1"/>
  <c r="I18" i="1"/>
  <c r="I19" i="1"/>
  <c r="I20" i="1"/>
  <c r="I21" i="1"/>
  <c r="I22" i="1"/>
  <c r="I23" i="1"/>
  <c r="I24" i="1"/>
  <c r="I15" i="1"/>
  <c r="A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7D13D8-C7D5-4EB2-8217-BD83B62972CE}" keepAlive="1" name="ModelConnection_ExternalData_2" description="Data Model" type="5" refreshedVersion="8" minRefreshableVersion="5" saveData="1">
    <dbPr connection="Data Model Connection" command="Players" commandType="3"/>
    <extLst>
      <ext xmlns:x15="http://schemas.microsoft.com/office/spreadsheetml/2010/11/main" uri="{DE250136-89BD-433C-8126-D09CA5730AF9}">
        <x15:connection id="" model="1"/>
      </ext>
    </extLst>
  </connection>
  <connection id="2" xr16:uid="{D5258B13-BFD1-442A-9E41-8C3FDDCF34AB}" keepAlive="1" name="ModelConnection_ExternalData_3" description="Data Model" type="5" refreshedVersion="8" minRefreshableVersion="5" saveData="1">
    <dbPr connection="Data Model Connection" command="Fixtures" commandType="3"/>
    <extLst>
      <ext xmlns:x15="http://schemas.microsoft.com/office/spreadsheetml/2010/11/main" uri="{DE250136-89BD-433C-8126-D09CA5730AF9}">
        <x15:connection id="" model="1"/>
      </ext>
    </extLst>
  </connection>
  <connection id="3" xr16:uid="{F934D671-3BD9-4BC7-B83C-FE3A38641911}" keepAlive="1" name="Query - DataPath" description="Connection to the 'DataPath' query in the workbook." type="5" refreshedVersion="0" background="1">
    <dbPr connection="Provider=Microsoft.Mashup.OleDb.1;Data Source=$Workbook$;Location=DataPath;Extended Properties=&quot;&quot;" command="SELECT * FROM [DataPath]"/>
  </connection>
  <connection id="4" xr16:uid="{F5DE8FBD-A994-4768-B9C8-D527BCD46451}" name="Query - Fixtures" description="Connection to the 'Fixtures' query in the workbook." type="100" refreshedVersion="8" minRefreshableVersion="5">
    <extLst>
      <ext xmlns:x15="http://schemas.microsoft.com/office/spreadsheetml/2010/11/main" uri="{DE250136-89BD-433C-8126-D09CA5730AF9}">
        <x15:connection id="3e6cc403-bc97-46b2-84b5-1560b8a32a00"/>
      </ext>
    </extLst>
  </connection>
  <connection id="5" xr16:uid="{73E7CC4F-6969-4151-87CA-14F1588E559E}" name="Query - Players" description="Connection to the 'Players' query in the workbook." type="100" refreshedVersion="8" minRefreshableVersion="5">
    <extLst>
      <ext xmlns:x15="http://schemas.microsoft.com/office/spreadsheetml/2010/11/main" uri="{DE250136-89BD-433C-8126-D09CA5730AF9}">
        <x15:connection id="a856f0b4-a2ee-4718-91a5-fd17304797ea"/>
      </ext>
    </extLst>
  </connection>
  <connection id="6" xr16:uid="{C99ED616-A780-4440-BBD0-5DFAE0B91835}" keepAlive="1" name="Query - Refresh" description="Connection to the 'Refresh' query in the workbook." type="5" refreshedVersion="8" background="1" saveData="1">
    <dbPr connection="Provider=Microsoft.Mashup.OleDb.1;Data Source=$Workbook$;Location=Refresh;Extended Properties=&quot;&quot;" command="SELECT * FROM [Refresh]"/>
  </connection>
  <connection id="7" xr16:uid="{7B2407FA-231F-4BE7-92DE-FCC9C06234B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4C5172E4-7CDA-41F4-A58D-9C460DF53EF2}" name="WorksheetConnection_pl_Excel_report.xlsx!Players" type="102" refreshedVersion="8" minRefreshableVersion="5">
    <extLst>
      <ext xmlns:x15="http://schemas.microsoft.com/office/spreadsheetml/2010/11/main" uri="{DE250136-89BD-433C-8126-D09CA5730AF9}">
        <x15:connection id="Players 1">
          <x15:rangePr sourceName="_xlcn.WorksheetConnection_pl_Excel_report.xlsxPlay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
    <s v="ThisWorkbookDataModel"/>
    <s v="{[Players].[position_short].[All]}"/>
  </metadataStrings>
  <mdxMetadata count="1">
    <mdx n="0" f="s">
      <ms ns="1" c="0"/>
    </mdx>
  </mdx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<sst xmlns="http://schemas.openxmlformats.org/spreadsheetml/2006/main" count="4558" uniqueCount="573">
  <si>
    <t>player_id</t>
  </si>
  <si>
    <t>web_name</t>
  </si>
  <si>
    <t>full_name</t>
  </si>
  <si>
    <t>price_m</t>
  </si>
  <si>
    <t>selected_by_percent</t>
  </si>
  <si>
    <t>status</t>
  </si>
  <si>
    <t>team_name</t>
  </si>
  <si>
    <t>position_short</t>
  </si>
  <si>
    <t>position_name</t>
  </si>
  <si>
    <t>fixtures</t>
  </si>
  <si>
    <t>appearances</t>
  </si>
  <si>
    <t>minutes</t>
  </si>
  <si>
    <t>points</t>
  </si>
  <si>
    <t>goals</t>
  </si>
  <si>
    <t>assists</t>
  </si>
  <si>
    <t>clean_sheets</t>
  </si>
  <si>
    <t>bonus</t>
  </si>
  <si>
    <t>points_per_million</t>
  </si>
  <si>
    <t>price_band</t>
  </si>
  <si>
    <t>Bogle</t>
  </si>
  <si>
    <t>Jayden Bogle</t>
  </si>
  <si>
    <t>a</t>
  </si>
  <si>
    <t>Leeds United</t>
  </si>
  <si>
    <t>DEF</t>
  </si>
  <si>
    <t>Defender</t>
  </si>
  <si>
    <t>5</t>
  </si>
  <si>
    <t>5.0</t>
  </si>
  <si>
    <t>2.0</t>
  </si>
  <si>
    <t>0.0</t>
  </si>
  <si>
    <t>4.0</t>
  </si>
  <si>
    <t>6.0</t>
  </si>
  <si>
    <t>Under 5.0</t>
  </si>
  <si>
    <t>Groß</t>
  </si>
  <si>
    <t>Pascal Groß</t>
  </si>
  <si>
    <t>Brighton &amp; Hove Albion</t>
  </si>
  <si>
    <t>MID</t>
  </si>
  <si>
    <t>Midfielder</t>
  </si>
  <si>
    <t>3.0</t>
  </si>
  <si>
    <t>9.0</t>
  </si>
  <si>
    <t>5.0 to 6.9</t>
  </si>
  <si>
    <t>De Cuyper</t>
  </si>
  <si>
    <t>Maxim De Cuyper</t>
  </si>
  <si>
    <t>1.0</t>
  </si>
  <si>
    <t>Tzolakis</t>
  </si>
  <si>
    <t>Konstantinos Tzolakis</t>
  </si>
  <si>
    <t>Hull City</t>
  </si>
  <si>
    <t>GKP</t>
  </si>
  <si>
    <t>Goalkeeper</t>
  </si>
  <si>
    <t>Tarkowski</t>
  </si>
  <si>
    <t>James Tarkowski</t>
  </si>
  <si>
    <t>Everton</t>
  </si>
  <si>
    <t>7.0</t>
  </si>
  <si>
    <t>Gvardiol</t>
  </si>
  <si>
    <t>Joško Gvardiol</t>
  </si>
  <si>
    <t>Manchester City</t>
  </si>
  <si>
    <t>Ajayi</t>
  </si>
  <si>
    <t>Semi Ajayi</t>
  </si>
  <si>
    <t>Vuskovic</t>
  </si>
  <si>
    <t>Luka Vušković</t>
  </si>
  <si>
    <t>Egan</t>
  </si>
  <si>
    <t>John Egan</t>
  </si>
  <si>
    <t>Schade</t>
  </si>
  <si>
    <t>Kevin Schade</t>
  </si>
  <si>
    <t>Brentford</t>
  </si>
  <si>
    <t>Davis</t>
  </si>
  <si>
    <t>Leif Davis</t>
  </si>
  <si>
    <t>Ipswich Town</t>
  </si>
  <si>
    <t>Mendy</t>
  </si>
  <si>
    <t>Nobel Mendy</t>
  </si>
  <si>
    <t>Belloumi</t>
  </si>
  <si>
    <t>Mohamed Belloumi</t>
  </si>
  <si>
    <t>Giles</t>
  </si>
  <si>
    <t>Ryan Giles</t>
  </si>
  <si>
    <t>Thomas</t>
  </si>
  <si>
    <t>Bobby Thomas</t>
  </si>
  <si>
    <t>Coventry City</t>
  </si>
  <si>
    <t>Mykolenko</t>
  </si>
  <si>
    <t>Vitalii Mykolenko</t>
  </si>
  <si>
    <t>Hall</t>
  </si>
  <si>
    <t>Lewis Hall</t>
  </si>
  <si>
    <t>Newcastle United</t>
  </si>
  <si>
    <t>Justin</t>
  </si>
  <si>
    <t>James Justin</t>
  </si>
  <si>
    <t>Trafford</t>
  </si>
  <si>
    <t>James Trafford</t>
  </si>
  <si>
    <t>Janelt</t>
  </si>
  <si>
    <t>Vitaly Janelt</t>
  </si>
  <si>
    <t>Muharemović</t>
  </si>
  <si>
    <t>Tarik Muharemović</t>
  </si>
  <si>
    <t>Mitchell</t>
  </si>
  <si>
    <t>Tyrick Mitchell</t>
  </si>
  <si>
    <t>Crystal Palace</t>
  </si>
  <si>
    <t>Verbruggen</t>
  </si>
  <si>
    <t>Bart Verbruggen</t>
  </si>
  <si>
    <t>Tavernier</t>
  </si>
  <si>
    <t>Marcus Tavernier</t>
  </si>
  <si>
    <t>AFC Bournemouth</t>
  </si>
  <si>
    <t>8.0</t>
  </si>
  <si>
    <t>Guéhi</t>
  </si>
  <si>
    <t>Marc Guéhi</t>
  </si>
  <si>
    <t>Kayode</t>
  </si>
  <si>
    <t>Michael Kayode</t>
  </si>
  <si>
    <t>Calafiori</t>
  </si>
  <si>
    <t>Riccardo Calafiori</t>
  </si>
  <si>
    <t>Arsenal</t>
  </si>
  <si>
    <t>Kostoulas</t>
  </si>
  <si>
    <t>Charalampos Kostoulas</t>
  </si>
  <si>
    <t>FWD</t>
  </si>
  <si>
    <t>Forward</t>
  </si>
  <si>
    <t>Dasilva</t>
  </si>
  <si>
    <t>Jay Dasilva</t>
  </si>
  <si>
    <t>Scott</t>
  </si>
  <si>
    <t>Alex Scott</t>
  </si>
  <si>
    <t>Raya</t>
  </si>
  <si>
    <t>David Raya Martín</t>
  </si>
  <si>
    <t>A.Becker</t>
  </si>
  <si>
    <t>Alisson Becker</t>
  </si>
  <si>
    <t>Liverpool</t>
  </si>
  <si>
    <t>Branthwaite</t>
  </si>
  <si>
    <t>Jarrad Branthwaite</t>
  </si>
  <si>
    <t>Van Hecke</t>
  </si>
  <si>
    <t>Jan Paul van Hecke</t>
  </si>
  <si>
    <t>Tottenham Hotspur</t>
  </si>
  <si>
    <t>Dunk</t>
  </si>
  <si>
    <t>Lewis Dunk</t>
  </si>
  <si>
    <t>d</t>
  </si>
  <si>
    <t>Jacquet</t>
  </si>
  <si>
    <t>Jeremy Jacquet</t>
  </si>
  <si>
    <t>Gomez</t>
  </si>
  <si>
    <t>Diego Gómez Amarilla</t>
  </si>
  <si>
    <t>Emersonn</t>
  </si>
  <si>
    <t>Emersonn Correia da Silva</t>
  </si>
  <si>
    <t>Schuster</t>
  </si>
  <si>
    <t>Jannik Schuster</t>
  </si>
  <si>
    <t>Ajer</t>
  </si>
  <si>
    <t>Kristoffer Ajer</t>
  </si>
  <si>
    <t>Barnes</t>
  </si>
  <si>
    <t>Harvey Barnes</t>
  </si>
  <si>
    <t>Pickford</t>
  </si>
  <si>
    <t>Jordan Pickford</t>
  </si>
  <si>
    <t>Stach</t>
  </si>
  <si>
    <t>Anton Stach</t>
  </si>
  <si>
    <t>Yalcouyé</t>
  </si>
  <si>
    <t>Malick Yalcouyé</t>
  </si>
  <si>
    <t>Gakpo</t>
  </si>
  <si>
    <t>Cody Gakpo</t>
  </si>
  <si>
    <t>7.0 to 8.9</t>
  </si>
  <si>
    <t>Castagne</t>
  </si>
  <si>
    <t>Timothy Castagne</t>
  </si>
  <si>
    <t>Fulham</t>
  </si>
  <si>
    <t>Willock</t>
  </si>
  <si>
    <t>Joe Willock</t>
  </si>
  <si>
    <t>Cherki</t>
  </si>
  <si>
    <t>Rayan Cherki</t>
  </si>
  <si>
    <t>King</t>
  </si>
  <si>
    <t>Josh King</t>
  </si>
  <si>
    <t>João Pedro</t>
  </si>
  <si>
    <t>João Pedro Junqueira de Jesus</t>
  </si>
  <si>
    <t>Chelsea</t>
  </si>
  <si>
    <t>Ødegaard</t>
  </si>
  <si>
    <t>Martin Ødegaard</t>
  </si>
  <si>
    <t>Boscagli</t>
  </si>
  <si>
    <t>Olivier Boscagli</t>
  </si>
  <si>
    <t>Brobbey</t>
  </si>
  <si>
    <t>Brian Brobbey</t>
  </si>
  <si>
    <t>Sunderland</t>
  </si>
  <si>
    <t>Kamada</t>
  </si>
  <si>
    <t>Daichi Kamada</t>
  </si>
  <si>
    <t>Murillo</t>
  </si>
  <si>
    <t>Murillo Costa dos Santos</t>
  </si>
  <si>
    <t>Nottingham Forest</t>
  </si>
  <si>
    <t>Araujo</t>
  </si>
  <si>
    <t>Ronald Araujo</t>
  </si>
  <si>
    <t>Kinsky</t>
  </si>
  <si>
    <t>Antonín Kinský</t>
  </si>
  <si>
    <t>Mainoo</t>
  </si>
  <si>
    <t>Kobbie Mainoo</t>
  </si>
  <si>
    <t>Manchester United</t>
  </si>
  <si>
    <t>Leno</t>
  </si>
  <si>
    <t>Bernd Leno</t>
  </si>
  <si>
    <t>Kelleher</t>
  </si>
  <si>
    <t>Caoimhín Kelleher</t>
  </si>
  <si>
    <t>Lewis-Potter</t>
  </si>
  <si>
    <t>Keane Lewis-Potter</t>
  </si>
  <si>
    <t>M.Sangaré</t>
  </si>
  <si>
    <t>Mamadou Sangaré</t>
  </si>
  <si>
    <t>Semenyo</t>
  </si>
  <si>
    <t>Antoine Semenyo</t>
  </si>
  <si>
    <t>Ampadu</t>
  </si>
  <si>
    <t>Ethan Ampadu</t>
  </si>
  <si>
    <t>Robertson</t>
  </si>
  <si>
    <t>Andrew Robertson</t>
  </si>
  <si>
    <t>Virgil</t>
  </si>
  <si>
    <t>Virgil van Dijk</t>
  </si>
  <si>
    <t>White</t>
  </si>
  <si>
    <t>Benjamin White</t>
  </si>
  <si>
    <t>Xhaka</t>
  </si>
  <si>
    <t>Granit Xhaka</t>
  </si>
  <si>
    <t>Khalaili</t>
  </si>
  <si>
    <t>Anan Khalaili</t>
  </si>
  <si>
    <t>N.Williams</t>
  </si>
  <si>
    <t>Neco Williams</t>
  </si>
  <si>
    <t>Ndiaye</t>
  </si>
  <si>
    <t>Iliman Ndiaye</t>
  </si>
  <si>
    <t>Rogers</t>
  </si>
  <si>
    <t>Morgan Rogers</t>
  </si>
  <si>
    <t>Calvert-Lewin</t>
  </si>
  <si>
    <t>Dominic Calvert-Lewin</t>
  </si>
  <si>
    <t>Isak</t>
  </si>
  <si>
    <t>Alexander Isak</t>
  </si>
  <si>
    <t>9.0 to 10.9</t>
  </si>
  <si>
    <t>Barry</t>
  </si>
  <si>
    <t>Thierno Barry</t>
  </si>
  <si>
    <t>Buendía</t>
  </si>
  <si>
    <t>Emiliano Buendía Stati</t>
  </si>
  <si>
    <t>Aston Villa</t>
  </si>
  <si>
    <t>Rushworth</t>
  </si>
  <si>
    <t>Carl Rushworth</t>
  </si>
  <si>
    <t>Coyle</t>
  </si>
  <si>
    <t>Lewie Coyle</t>
  </si>
  <si>
    <t>Gibbs-White</t>
  </si>
  <si>
    <t>Morgan Gibbs-White</t>
  </si>
  <si>
    <t>Donnarumma</t>
  </si>
  <si>
    <t>Gianluigi Donnarumma</t>
  </si>
  <si>
    <t>George</t>
  </si>
  <si>
    <t>Tyrique George</t>
  </si>
  <si>
    <t>Saka</t>
  </si>
  <si>
    <t>Bukayo Saka</t>
  </si>
  <si>
    <t>Bassey</t>
  </si>
  <si>
    <t>Calvin Bassey</t>
  </si>
  <si>
    <t>Slater</t>
  </si>
  <si>
    <t>Regan Slater</t>
  </si>
  <si>
    <t>Cunha</t>
  </si>
  <si>
    <t>Matheus Santos Carneiro da Cunha</t>
  </si>
  <si>
    <t>Van de Ven</t>
  </si>
  <si>
    <t>Micky van de Ven</t>
  </si>
  <si>
    <t>Suzuki</t>
  </si>
  <si>
    <t>Zion Suzuki</t>
  </si>
  <si>
    <t>N.Angulo</t>
  </si>
  <si>
    <t>Nilson Angulo</t>
  </si>
  <si>
    <t>Armstrong</t>
  </si>
  <si>
    <t>Harrison Armstrong</t>
  </si>
  <si>
    <t>E.Le Fée</t>
  </si>
  <si>
    <t>Enzo Le Fée</t>
  </si>
  <si>
    <t>Mbeumo</t>
  </si>
  <si>
    <t>Bryan Mbeumo</t>
  </si>
  <si>
    <t>McGinn</t>
  </si>
  <si>
    <t>John McGinn</t>
  </si>
  <si>
    <t>Gabriel</t>
  </si>
  <si>
    <t>Gabriel dos Santos Magalhães</t>
  </si>
  <si>
    <t>Pinnock</t>
  </si>
  <si>
    <t>Ethan Pinnock</t>
  </si>
  <si>
    <t>Meunier</t>
  </si>
  <si>
    <t>Thomas Meunier</t>
  </si>
  <si>
    <t>Gudmundsson</t>
  </si>
  <si>
    <t>Gabriel Gudmundsson</t>
  </si>
  <si>
    <t>Okafor</t>
  </si>
  <si>
    <t>Noah Okafor</t>
  </si>
  <si>
    <t>Rúben</t>
  </si>
  <si>
    <t>Rúben dos Santos Gato Alves Dias</t>
  </si>
  <si>
    <t>Dewsbury-Hall</t>
  </si>
  <si>
    <t>Kiernan Dewsbury-Hall</t>
  </si>
  <si>
    <t>Kamara</t>
  </si>
  <si>
    <t>Boubacar Kamara</t>
  </si>
  <si>
    <t>Diop</t>
  </si>
  <si>
    <t>Issa Diop</t>
  </si>
  <si>
    <t>Botman</t>
  </si>
  <si>
    <t>Sven Botman</t>
  </si>
  <si>
    <t>Evanilson</t>
  </si>
  <si>
    <t>Francisco Evanilson de Lima Barbosa</t>
  </si>
  <si>
    <t>Damsgaard</t>
  </si>
  <si>
    <t>Mikkel Damsgaard</t>
  </si>
  <si>
    <t>Elanga</t>
  </si>
  <si>
    <t>Anthony Elanga</t>
  </si>
  <si>
    <t>i</t>
  </si>
  <si>
    <t>F.Kadıoğlu</t>
  </si>
  <si>
    <t>Ferdi Kadıoğlu</t>
  </si>
  <si>
    <t>Dedić</t>
  </si>
  <si>
    <t>Amar Dedic</t>
  </si>
  <si>
    <t>Elvedi</t>
  </si>
  <si>
    <t>Nico Elvedi</t>
  </si>
  <si>
    <t>Palmer</t>
  </si>
  <si>
    <t>Cole Palmer</t>
  </si>
  <si>
    <t>Ballard</t>
  </si>
  <si>
    <t>Daniel Ballard</t>
  </si>
  <si>
    <t>Szoboszlai</t>
  </si>
  <si>
    <t>Dominik Szoboszlai</t>
  </si>
  <si>
    <t>Tanaka</t>
  </si>
  <si>
    <t>Tanaka Ao</t>
  </si>
  <si>
    <t>Sels</t>
  </si>
  <si>
    <t>Matz Sels</t>
  </si>
  <si>
    <t>Horníček</t>
  </si>
  <si>
    <t>Lukás Hornícek</t>
  </si>
  <si>
    <t>Richards</t>
  </si>
  <si>
    <t>Chris Richards</t>
  </si>
  <si>
    <t>Thiaw</t>
  </si>
  <si>
    <t>Malick Thiaw</t>
  </si>
  <si>
    <t>Ayari</t>
  </si>
  <si>
    <t>Yasin Ayari</t>
  </si>
  <si>
    <t>Enciso</t>
  </si>
  <si>
    <t>Julio Enciso</t>
  </si>
  <si>
    <t>Ndoye</t>
  </si>
  <si>
    <t>Dan Ndoye</t>
  </si>
  <si>
    <t>Bentancur</t>
  </si>
  <si>
    <t>Rodrigo Bentancur</t>
  </si>
  <si>
    <t>Rice</t>
  </si>
  <si>
    <t>Declan Rice</t>
  </si>
  <si>
    <t>Affengruber</t>
  </si>
  <si>
    <t>David Affengruber</t>
  </si>
  <si>
    <t>3</t>
  </si>
  <si>
    <t>Robinson</t>
  </si>
  <si>
    <t>Antonee Robinson</t>
  </si>
  <si>
    <t>Rudoni</t>
  </si>
  <si>
    <t>Jack Rudoni</t>
  </si>
  <si>
    <t>Tonali</t>
  </si>
  <si>
    <t>Sandro Tonali</t>
  </si>
  <si>
    <t>B.Fernandes</t>
  </si>
  <si>
    <t>Bruno Borges Fernandes</t>
  </si>
  <si>
    <t>11.0 and over</t>
  </si>
  <si>
    <t>Konsa</t>
  </si>
  <si>
    <t>Ezri Konsa Ngoyo</t>
  </si>
  <si>
    <t>Charles</t>
  </si>
  <si>
    <t>Shea Charles</t>
  </si>
  <si>
    <t>Schlager</t>
  </si>
  <si>
    <t>Xaver Schlager</t>
  </si>
  <si>
    <t>Silva</t>
  </si>
  <si>
    <t>António João Pereira de Albuquerque Tavares da Silva</t>
  </si>
  <si>
    <t>Iwobi</t>
  </si>
  <si>
    <t>Alex Iwobi</t>
  </si>
  <si>
    <t>Yeremy</t>
  </si>
  <si>
    <t>Yéremy Pino Santos</t>
  </si>
  <si>
    <t>Tzolis</t>
  </si>
  <si>
    <t>Christos Tzolis</t>
  </si>
  <si>
    <t>Anthony</t>
  </si>
  <si>
    <t>Jaidon Anthony</t>
  </si>
  <si>
    <t>Havertz</t>
  </si>
  <si>
    <t>Kai Havertz</t>
  </si>
  <si>
    <t>Haaland</t>
  </si>
  <si>
    <t>Erling Haaland</t>
  </si>
  <si>
    <t>Kluivert</t>
  </si>
  <si>
    <t>Justin Kluivert</t>
  </si>
  <si>
    <t>O'Shea</t>
  </si>
  <si>
    <t>Dara O'Shea</t>
  </si>
  <si>
    <t>Wirtz</t>
  </si>
  <si>
    <t>Florian Wirtz</t>
  </si>
  <si>
    <t>Jair Cunha</t>
  </si>
  <si>
    <t>Jair Paula da Cunha Filho</t>
  </si>
  <si>
    <t>Wissa</t>
  </si>
  <si>
    <t>Yoane Wissa</t>
  </si>
  <si>
    <t>Tielemans</t>
  </si>
  <si>
    <t>Youri Tielemans</t>
  </si>
  <si>
    <t>Kerkez</t>
  </si>
  <si>
    <t>Milos Kerkez</t>
  </si>
  <si>
    <t>Mukiele</t>
  </si>
  <si>
    <t>Nordi Mukiele</t>
  </si>
  <si>
    <t>Adams</t>
  </si>
  <si>
    <t>Tyler Adams</t>
  </si>
  <si>
    <t>Anderson</t>
  </si>
  <si>
    <t>Elliot Anderson</t>
  </si>
  <si>
    <t>McBurnie</t>
  </si>
  <si>
    <t>Oli McBurnie</t>
  </si>
  <si>
    <t>Bobb</t>
  </si>
  <si>
    <t>Oscar Bobb</t>
  </si>
  <si>
    <t>Gonzalo</t>
  </si>
  <si>
    <t>Gonzalo García</t>
  </si>
  <si>
    <t>Strand Larsen</t>
  </si>
  <si>
    <t>Jørgen Strand Larsen</t>
  </si>
  <si>
    <t>Hume</t>
  </si>
  <si>
    <t>Trai Hume</t>
  </si>
  <si>
    <t>Munoz</t>
  </si>
  <si>
    <t>Victor Munoz</t>
  </si>
  <si>
    <t>Roefs</t>
  </si>
  <si>
    <t>Robin Roefs</t>
  </si>
  <si>
    <t>Lukić</t>
  </si>
  <si>
    <t>Saša Lukić</t>
  </si>
  <si>
    <t>Grimes</t>
  </si>
  <si>
    <t>Matt Grimes</t>
  </si>
  <si>
    <t>Berge</t>
  </si>
  <si>
    <t>Sander Berge</t>
  </si>
  <si>
    <t>Lammens</t>
  </si>
  <si>
    <t>Senne Lammens</t>
  </si>
  <si>
    <t>Mings</t>
  </si>
  <si>
    <t>Tyrone Mings</t>
  </si>
  <si>
    <t>Wharton</t>
  </si>
  <si>
    <t>Adam Wharton</t>
  </si>
  <si>
    <t>Milenković</t>
  </si>
  <si>
    <t>Nikola Milenković</t>
  </si>
  <si>
    <t>Palacios</t>
  </si>
  <si>
    <t>César Palacios</t>
  </si>
  <si>
    <t>Lacroix</t>
  </si>
  <si>
    <t>Maxence Lacroix</t>
  </si>
  <si>
    <t>Exequiel Palacios</t>
  </si>
  <si>
    <t>4</t>
  </si>
  <si>
    <t>Lavia</t>
  </si>
  <si>
    <t>Roméo Lavia</t>
  </si>
  <si>
    <t>L.Miley</t>
  </si>
  <si>
    <t>Lewis Miley</t>
  </si>
  <si>
    <t>McAtee</t>
  </si>
  <si>
    <t>James McAtee</t>
  </si>
  <si>
    <t>Hill</t>
  </si>
  <si>
    <t>James Hill</t>
  </si>
  <si>
    <t>Neto</t>
  </si>
  <si>
    <t>Pedro Lomba Neto</t>
  </si>
  <si>
    <t>Shaw</t>
  </si>
  <si>
    <t>Luke Shaw</t>
  </si>
  <si>
    <t>Maguire</t>
  </si>
  <si>
    <t>Harry Maguire</t>
  </si>
  <si>
    <t>Canvot</t>
  </si>
  <si>
    <t>Jaydee Canvot</t>
  </si>
  <si>
    <t>Igor Jesus</t>
  </si>
  <si>
    <t>Igor Jesus Maciel da Cruz</t>
  </si>
  <si>
    <t>Maatsen</t>
  </si>
  <si>
    <t>Ian Maatsen</t>
  </si>
  <si>
    <t>Mac Allister</t>
  </si>
  <si>
    <t>Alexis Mac Allister</t>
  </si>
  <si>
    <t>Sadiki</t>
  </si>
  <si>
    <t>Noah Sadiki</t>
  </si>
  <si>
    <t>Petrović</t>
  </si>
  <si>
    <t>Đorđe Petrović</t>
  </si>
  <si>
    <t>Barkley</t>
  </si>
  <si>
    <t>Ross Barkley</t>
  </si>
  <si>
    <t>George Hemmings</t>
  </si>
  <si>
    <t>Enzo</t>
  </si>
  <si>
    <t>Enzo Fernández</t>
  </si>
  <si>
    <t>Yarmoliuk</t>
  </si>
  <si>
    <t>Yehor Yarmoliuk</t>
  </si>
  <si>
    <t>Yirenkyi</t>
  </si>
  <si>
    <t>Caleb Yirenkyi</t>
  </si>
  <si>
    <t>Matheus N.</t>
  </si>
  <si>
    <t>Matheus Nunes</t>
  </si>
  <si>
    <t>Truffert</t>
  </si>
  <si>
    <t>Adrien Truffert</t>
  </si>
  <si>
    <t>Collins</t>
  </si>
  <si>
    <t>Nathan Collins</t>
  </si>
  <si>
    <t>Gray</t>
  </si>
  <si>
    <t>Archie Gray</t>
  </si>
  <si>
    <t>Onyeka</t>
  </si>
  <si>
    <t>Frank Onyeka</t>
  </si>
  <si>
    <t>Garner</t>
  </si>
  <si>
    <t>James Garner</t>
  </si>
  <si>
    <t>Aina</t>
  </si>
  <si>
    <t>Ola Aina</t>
  </si>
  <si>
    <t>Thomas-Asante</t>
  </si>
  <si>
    <t>Brandon Thomas-Asante</t>
  </si>
  <si>
    <t>Timber</t>
  </si>
  <si>
    <t>Quinten Timber</t>
  </si>
  <si>
    <t>Martinez</t>
  </si>
  <si>
    <t>Emiliano Martínez Romero</t>
  </si>
  <si>
    <t>Hato</t>
  </si>
  <si>
    <t>Jorrel Hato</t>
  </si>
  <si>
    <t>Lindelöf</t>
  </si>
  <si>
    <t>Victor Lindelöf</t>
  </si>
  <si>
    <t>Benitez</t>
  </si>
  <si>
    <t>Walter Benítez</t>
  </si>
  <si>
    <t>Lewis-Skelly</t>
  </si>
  <si>
    <t>Myles Lewis-Skelly</t>
  </si>
  <si>
    <t>Pedro Porro</t>
  </si>
  <si>
    <t>Pedro Porro Sauceda</t>
  </si>
  <si>
    <t>Khusanov</t>
  </si>
  <si>
    <t>Abdukodir Khusanov</t>
  </si>
  <si>
    <t>Steur</t>
  </si>
  <si>
    <t>Sean Steur</t>
  </si>
  <si>
    <t>Dalot</t>
  </si>
  <si>
    <t>Diogo Dalot Teixeira</t>
  </si>
  <si>
    <t>Delap</t>
  </si>
  <si>
    <t>Liam Delap</t>
  </si>
  <si>
    <t>Fofana</t>
  </si>
  <si>
    <t>Wesley Fofana</t>
  </si>
  <si>
    <t>Cook</t>
  </si>
  <si>
    <t>Lewis Cook</t>
  </si>
  <si>
    <t>Rayan</t>
  </si>
  <si>
    <t>Rayan Vitor Simplício Rocha</t>
  </si>
  <si>
    <t>Reinildo</t>
  </si>
  <si>
    <t>Reinildo Mandava</t>
  </si>
  <si>
    <t>Scherpen</t>
  </si>
  <si>
    <t>Kjell Scherpen</t>
  </si>
  <si>
    <t>Gravenberch</t>
  </si>
  <si>
    <t>Ryan Gravenberch</t>
  </si>
  <si>
    <t>N.Jackson</t>
  </si>
  <si>
    <t>Nicolas Jackson</t>
  </si>
  <si>
    <t>Johnson</t>
  </si>
  <si>
    <t>Brennan Johnson</t>
  </si>
  <si>
    <t>Maeda</t>
  </si>
  <si>
    <t>Daizen Maeda</t>
  </si>
  <si>
    <t>van Ewijk</t>
  </si>
  <si>
    <t>Milan van Ewijk</t>
  </si>
  <si>
    <t>Fatawu</t>
  </si>
  <si>
    <t>Abdul Fatawu</t>
  </si>
  <si>
    <t>s</t>
  </si>
  <si>
    <t>Rashford</t>
  </si>
  <si>
    <t>Marcus Rashford</t>
  </si>
  <si>
    <t>Tel</t>
  </si>
  <si>
    <t>Mathys Tel</t>
  </si>
  <si>
    <t>Stroud</t>
  </si>
  <si>
    <t>Elliot Stroud</t>
  </si>
  <si>
    <t>Cash</t>
  </si>
  <si>
    <t>Matty Cash</t>
  </si>
  <si>
    <t>Aaronson</t>
  </si>
  <si>
    <t>Brenden Aaronson</t>
  </si>
  <si>
    <t>Foden</t>
  </si>
  <si>
    <t>Phil Foden</t>
  </si>
  <si>
    <t>Thiago</t>
  </si>
  <si>
    <t>Igor Thiago Nascimento Rodrigues</t>
  </si>
  <si>
    <t>Herrington</t>
  </si>
  <si>
    <t>Lucas Herrington</t>
  </si>
  <si>
    <t>Sávio</t>
  </si>
  <si>
    <t>Sávio Moreira de Oliveira</t>
  </si>
  <si>
    <t>Fernandes</t>
  </si>
  <si>
    <t>Mateus Fernandes</t>
  </si>
  <si>
    <t>Röhl</t>
  </si>
  <si>
    <t>Merlin Röhl</t>
  </si>
  <si>
    <t>Lisandro Martínez</t>
  </si>
  <si>
    <t>Marmoush</t>
  </si>
  <si>
    <t>Omar Marmoush</t>
  </si>
  <si>
    <t>Acheampong</t>
  </si>
  <si>
    <t>Josh Acheampong</t>
  </si>
  <si>
    <t>Chavarria</t>
  </si>
  <si>
    <t>Pep Chavarría</t>
  </si>
  <si>
    <t>Amenda</t>
  </si>
  <si>
    <t>Aurèle Amenda</t>
  </si>
  <si>
    <t>Henderson</t>
  </si>
  <si>
    <t>Dean Henderson</t>
  </si>
  <si>
    <t>Mason-Clark</t>
  </si>
  <si>
    <t>Ephron Mason-Clark</t>
  </si>
  <si>
    <t>Tchaouna</t>
  </si>
  <si>
    <t>Loum Tchaouna</t>
  </si>
  <si>
    <t>Muñoz</t>
  </si>
  <si>
    <t>Daniel Muñoz Mejía</t>
  </si>
  <si>
    <t>Smith</t>
  </si>
  <si>
    <t>Adam Smith</t>
  </si>
  <si>
    <t>Gusto</t>
  </si>
  <si>
    <t>Malo Gusto</t>
  </si>
  <si>
    <t>Greaves</t>
  </si>
  <si>
    <t>Jacob Greaves</t>
  </si>
  <si>
    <t>Tomiyasu</t>
  </si>
  <si>
    <t>Takehiro Tomiyasu</t>
  </si>
  <si>
    <t>Crooks</t>
  </si>
  <si>
    <t>Matt Crooks</t>
  </si>
  <si>
    <t>Pau</t>
  </si>
  <si>
    <t>Pau Torres</t>
  </si>
  <si>
    <t>Colwill</t>
  </si>
  <si>
    <t>Levi Samuels Colwill</t>
  </si>
  <si>
    <t>Andersen</t>
  </si>
  <si>
    <t>Joachim Andersen</t>
  </si>
  <si>
    <t>Danso</t>
  </si>
  <si>
    <t>Kevin Danso</t>
  </si>
  <si>
    <t>James</t>
  </si>
  <si>
    <t>Reece James</t>
  </si>
  <si>
    <t>Awoniyi</t>
  </si>
  <si>
    <t>Taiwo Awoniyi</t>
  </si>
  <si>
    <t>J.Murphy</t>
  </si>
  <si>
    <t>Jacob Murphy</t>
  </si>
  <si>
    <t>gameweek_id</t>
  </si>
  <si>
    <t>difficulty</t>
  </si>
  <si>
    <t>venue</t>
  </si>
  <si>
    <t>refreshed_at</t>
  </si>
  <si>
    <t>total_matches</t>
  </si>
  <si>
    <t>live_matches</t>
  </si>
  <si>
    <t>player_fixture_rows</t>
  </si>
  <si>
    <t>latest_gameweek</t>
  </si>
  <si>
    <t>latest_match_date</t>
  </si>
  <si>
    <t>2026-09-20</t>
  </si>
  <si>
    <t>Avg pts/£m</t>
  </si>
  <si>
    <t>Avg price</t>
  </si>
  <si>
    <t>Avg points</t>
  </si>
  <si>
    <t>All</t>
  </si>
  <si>
    <t>Points</t>
  </si>
  <si>
    <t>Price</t>
  </si>
  <si>
    <t>Average of difficulty</t>
  </si>
  <si>
    <t>Player</t>
  </si>
  <si>
    <t>A</t>
  </si>
  <si>
    <t>H</t>
  </si>
  <si>
    <t>Players[web_name]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</si>
</sst>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5" formatCode="0.0"/>
    <numFmt numFmtId="166" formatCode="\£0.0&quot;m&quot;"/>
    <numFmt numFmtId="167" formatCode="\ 0.00"/>
    <numFmt numFmtId="172" formatCode="0.0;;&quot;—&quot;"/>
  </numFmts>
  <fonts count="3" x14ac:knownFonts="1">
    <font>
      <sz val="11"/>
      <color theme="1"/>
      <name val="Aptos Narrow"/>
      <family val="2"/>
      <scheme val="minor"/>
    </font>
    <font>
      <sz val="11"/>
      <name val="Courier New"/>
      <family val="3"/>
    </font>
    <font>
      <sz val="1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NumberFormat="1"/>
    <xf numFmtId="0" fontId="0" fillId="0" borderId="0" xfId="0" pivotButton="1"/>
    <xf numFmtId="1" fontId="0" fillId="0" borderId="0" xfId="0" applyNumberFormat="1"/>
    <xf numFmtId="2" fontId="0" fillId="0" borderId="0" xfId="0" applyNumberFormat="1"/>
    <xf numFmtId="165" fontId="0" fillId="0" borderId="0" xfId="0" applyNumberFormat="1"/>
    <xf numFmtId="166" fontId="0" fillId="0" borderId="0" xfId="0" applyNumberFormat="1"/>
    <xf numFmtId="167" fontId="0" fillId="0" borderId="0" xfId="0" applyNumberFormat="1"/>
    <xf numFmtId="0" fontId="1" fillId="0" borderId="0" xfId="0" applyFont="1" applyAlignment="1">
      <alignment horizontal="center" vertical="center" wrapText="1"/>
    </xf>
    <xf numFmtId="22" fontId="0" fillId="0" borderId="0" xfId="0" applyNumberFormat="1"/>
    <xf numFmtId="0" fontId="2" fillId="0" borderId="0" xfId="0" applyFont="1" applyAlignment="1">
      <alignment vertical="center"/>
    </xf>
    <xf numFmtId="172" fontId="0" fillId="0" borderId="0" xfId="0" applyNumberFormat="1"/>
    <xf numFmtId="9" fontId="0" fillId="0" borderId="0" xfId="0" applyNumberFormat="1"/>
  </cellXfs>
  <cellStyles count="1">
    <cellStyle name="Normal" xfId="0" builtinId="0"/>
  </cellStyles>
  <dxfs count="28">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1F6A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onnections" Target="connections.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t>Best value per million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bar"/>
        <c:grouping val="clustered"/>
        <c:varyColors val="0"/>
        <c:ser>
          <c:idx val="0"/>
          <c:order val="0"/>
          <c:spPr>
            <a:solidFill>
              <a:srgbClr val="1F6A4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Briefing!$H$15:$H$24</c:f>
              <c:strCache>
                <c:ptCount val="10"/>
                <c:pt idx="0">
                  <c:v>Bogle</c:v>
                </c:pt>
                <c:pt idx="1">
                  <c:v>Groß</c:v>
                </c:pt>
                <c:pt idx="2">
                  <c:v>De Cuyper</c:v>
                </c:pt>
                <c:pt idx="3">
                  <c:v>Tzolakis</c:v>
                </c:pt>
                <c:pt idx="4">
                  <c:v>Tarkowski</c:v>
                </c:pt>
                <c:pt idx="5">
                  <c:v>Gvardiol</c:v>
                </c:pt>
                <c:pt idx="6">
                  <c:v>Ajayi</c:v>
                </c:pt>
                <c:pt idx="7">
                  <c:v>Vuskovic</c:v>
                </c:pt>
                <c:pt idx="8">
                  <c:v>Egan</c:v>
                </c:pt>
                <c:pt idx="9">
                  <c:v>Schade</c:v>
                </c:pt>
              </c:strCache>
            </c:strRef>
          </c:cat>
          <c:val>
            <c:numRef>
              <c:f>Briefing!$I$15:$I$24</c:f>
              <c:numCache>
                <c:formatCode>0.00</c:formatCode>
                <c:ptCount val="10"/>
                <c:pt idx="0">
                  <c:v>9.1300000000000008</c:v>
                </c:pt>
                <c:pt idx="1">
                  <c:v>8.1</c:v>
                </c:pt>
                <c:pt idx="2">
                  <c:v>7.6</c:v>
                </c:pt>
                <c:pt idx="3">
                  <c:v>7.23</c:v>
                </c:pt>
                <c:pt idx="4">
                  <c:v>7.05</c:v>
                </c:pt>
                <c:pt idx="5">
                  <c:v>6.49</c:v>
                </c:pt>
                <c:pt idx="6">
                  <c:v>6.43</c:v>
                </c:pt>
                <c:pt idx="7">
                  <c:v>6.4</c:v>
                </c:pt>
                <c:pt idx="8">
                  <c:v>6.34</c:v>
                </c:pt>
                <c:pt idx="9">
                  <c:v>6.29</c:v>
                </c:pt>
              </c:numCache>
            </c:numRef>
          </c:val>
          <c:extLst>
            <c:ext xmlns:c16="http://schemas.microsoft.com/office/drawing/2014/chart" uri="{C3380CC4-5D6E-409C-BE32-E72D297353CC}">
              <c16:uniqueId val="{00000000-D446-49BF-AF58-3817BB8BF97D}"/>
            </c:ext>
          </c:extLst>
        </c:ser>
        <c:dLbls>
          <c:dLblPos val="outEnd"/>
          <c:showLegendKey val="0"/>
          <c:showVal val="1"/>
          <c:showCatName val="0"/>
          <c:showSerName val="0"/>
          <c:showPercent val="0"/>
          <c:showBubbleSize val="0"/>
        </c:dLbls>
        <c:gapWidth val="60"/>
        <c:axId val="260948608"/>
        <c:axId val="265613920"/>
      </c:barChart>
      <c:catAx>
        <c:axId val="260948608"/>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65613920"/>
        <c:crosses val="autoZero"/>
        <c:auto val="1"/>
        <c:lblAlgn val="ctr"/>
        <c:lblOffset val="100"/>
        <c:noMultiLvlLbl val="0"/>
      </c:catAx>
      <c:valAx>
        <c:axId val="265613920"/>
        <c:scaling>
          <c:orientation val="minMax"/>
        </c:scaling>
        <c:delete val="1"/>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260948608"/>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85725</xdr:colOff>
      <xdr:row>2</xdr:row>
      <xdr:rowOff>9525</xdr:rowOff>
    </xdr:from>
    <xdr:to>
      <xdr:col>4</xdr:col>
      <xdr:colOff>1619250</xdr:colOff>
      <xdr:row>11</xdr:row>
      <xdr:rowOff>114300</xdr:rowOff>
    </xdr:to>
    <mc:AlternateContent xmlns:mc="http://schemas.openxmlformats.org/markup-compatibility/2006">
      <mc:Choice xmlns:a14="http://schemas.microsoft.com/office/drawing/2010/main" Requires="a14">
        <xdr:graphicFrame macro="">
          <xdr:nvGraphicFramePr>
            <xdr:cNvPr id="5" name="price_band">
              <a:extLst>
                <a:ext uri="{FF2B5EF4-FFF2-40B4-BE49-F238E27FC236}">
                  <a16:creationId xmlns:a16="http://schemas.microsoft.com/office/drawing/2014/main" id="{BAD20EDF-C895-54B0-132B-B85F451C6148}"/>
                </a:ext>
              </a:extLst>
            </xdr:cNvPr>
            <xdr:cNvGraphicFramePr/>
          </xdr:nvGraphicFramePr>
          <xdr:xfrm>
            <a:off x="0" y="0"/>
            <a:ext cx="0" cy="0"/>
          </xdr:xfrm>
          <a:graphic>
            <a:graphicData uri="http://schemas.microsoft.com/office/drawing/2010/slicer">
              <sle:slicer xmlns:sle="http://schemas.microsoft.com/office/drawing/2010/slicer" name="price_band"/>
            </a:graphicData>
          </a:graphic>
        </xdr:graphicFrame>
      </mc:Choice>
      <mc:Fallback>
        <xdr:sp macro="" textlink="">
          <xdr:nvSpPr>
            <xdr:cNvPr id="0" name=""/>
            <xdr:cNvSpPr>
              <a:spLocks noTextEdit="1"/>
            </xdr:cNvSpPr>
          </xdr:nvSpPr>
          <xdr:spPr>
            <a:xfrm>
              <a:off x="3867150" y="390525"/>
              <a:ext cx="1533525" cy="1819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24</xdr:row>
      <xdr:rowOff>90487</xdr:rowOff>
    </xdr:from>
    <xdr:to>
      <xdr:col>4</xdr:col>
      <xdr:colOff>1200150</xdr:colOff>
      <xdr:row>38</xdr:row>
      <xdr:rowOff>166687</xdr:rowOff>
    </xdr:to>
    <xdr:graphicFrame macro="">
      <xdr:nvGraphicFramePr>
        <xdr:cNvPr id="11" name="Chart 10">
          <a:extLst>
            <a:ext uri="{FF2B5EF4-FFF2-40B4-BE49-F238E27FC236}">
              <a16:creationId xmlns:a16="http://schemas.microsoft.com/office/drawing/2014/main" id="{5BF2711B-C825-A4DD-B1F0-4FC8A17B3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2.739840509261" backgroundQuery="1" createdVersion="8" refreshedVersion="8" minRefreshableVersion="3" recordCount="0" supportSubquery="1" supportAdvancedDrill="1" xr:uid="{793674AC-DF41-4537-8A44-FE97532B6811}">
  <cacheSource type="external" connectionId="7"/>
  <cacheFields count="3">
    <cacheField name="[Fixtures].[team_name].[team_name]" caption="team_name" numFmtId="0" level="1">
      <sharedItems count="20">
        <s v="AFC Bournemouth"/>
        <s v="Arsenal"/>
        <s v="Aston Villa"/>
        <s v="Brentford"/>
        <s v="Brighton &amp; Hove Albion"/>
        <s v="Chelsea"/>
        <s v="Coventry City"/>
        <s v="Crystal Palace"/>
        <s v="Everton"/>
        <s v="Fulham"/>
        <s v="Hull City"/>
        <s v="Ipswich Town"/>
        <s v="Leeds United"/>
        <s v="Liverpool"/>
        <s v="Manchester City"/>
        <s v="Manchester United"/>
        <s v="Newcastle United"/>
        <s v="Nottingham Forest"/>
        <s v="Sunderland"/>
        <s v="Tottenham Hotspur"/>
      </sharedItems>
    </cacheField>
    <cacheField name="[Fixtures].[gameweek_id].[gameweek_id]" caption="gameweek_id" numFmtId="0" hierarchy="1" level="1">
      <sharedItems containsSemiMixedTypes="0" containsString="0" containsNumber="1" containsInteger="1" minValue="6" maxValue="38" count="33">
        <n v="6"/>
        <n v="7"/>
        <n v="8"/>
        <n v="9"/>
        <n v="10"/>
        <n v="11"/>
        <n v="12"/>
        <n v="13"/>
        <n v="14"/>
        <n v="15"/>
        <n v="16"/>
        <n v="17"/>
        <n v="18"/>
        <n v="19"/>
        <n v="20"/>
        <n v="21"/>
        <n v="22"/>
        <n v="23"/>
        <n v="24"/>
        <n v="25"/>
        <n v="26"/>
        <n v="27"/>
        <n v="28"/>
        <n v="29"/>
        <n v="30"/>
        <n v="31"/>
        <n v="32"/>
        <n v="33"/>
        <n v="34"/>
        <n v="35"/>
        <n v="36"/>
        <n v="37"/>
        <n v="38"/>
      </sharedItems>
      <extLst>
        <ext xmlns:x15="http://schemas.microsoft.com/office/spreadsheetml/2010/11/main" uri="{4F2E5C28-24EA-4eb8-9CBF-B6C8F9C3D259}">
          <x15:cachedUniqueNames>
            <x15:cachedUniqueName index="0" name="[Fixtures].[gameweek_id].&amp;[6]"/>
            <x15:cachedUniqueName index="1" name="[Fixtures].[gameweek_id].&amp;[7]"/>
            <x15:cachedUniqueName index="2" name="[Fixtures].[gameweek_id].&amp;[8]"/>
            <x15:cachedUniqueName index="3" name="[Fixtures].[gameweek_id].&amp;[9]"/>
            <x15:cachedUniqueName index="4" name="[Fixtures].[gameweek_id].&amp;[10]"/>
            <x15:cachedUniqueName index="5" name="[Fixtures].[gameweek_id].&amp;[11]"/>
            <x15:cachedUniqueName index="6" name="[Fixtures].[gameweek_id].&amp;[12]"/>
            <x15:cachedUniqueName index="7" name="[Fixtures].[gameweek_id].&amp;[13]"/>
            <x15:cachedUniqueName index="8" name="[Fixtures].[gameweek_id].&amp;[14]"/>
            <x15:cachedUniqueName index="9" name="[Fixtures].[gameweek_id].&amp;[15]"/>
            <x15:cachedUniqueName index="10" name="[Fixtures].[gameweek_id].&amp;[16]"/>
            <x15:cachedUniqueName index="11" name="[Fixtures].[gameweek_id].&amp;[17]"/>
            <x15:cachedUniqueName index="12" name="[Fixtures].[gameweek_id].&amp;[18]"/>
            <x15:cachedUniqueName index="13" name="[Fixtures].[gameweek_id].&amp;[19]"/>
            <x15:cachedUniqueName index="14" name="[Fixtures].[gameweek_id].&amp;[20]"/>
            <x15:cachedUniqueName index="15" name="[Fixtures].[gameweek_id].&amp;[21]"/>
            <x15:cachedUniqueName index="16" name="[Fixtures].[gameweek_id].&amp;[22]"/>
            <x15:cachedUniqueName index="17" name="[Fixtures].[gameweek_id].&amp;[23]"/>
            <x15:cachedUniqueName index="18" name="[Fixtures].[gameweek_id].&amp;[24]"/>
            <x15:cachedUniqueName index="19" name="[Fixtures].[gameweek_id].&amp;[25]"/>
            <x15:cachedUniqueName index="20" name="[Fixtures].[gameweek_id].&amp;[26]"/>
            <x15:cachedUniqueName index="21" name="[Fixtures].[gameweek_id].&amp;[27]"/>
            <x15:cachedUniqueName index="22" name="[Fixtures].[gameweek_id].&amp;[28]"/>
            <x15:cachedUniqueName index="23" name="[Fixtures].[gameweek_id].&amp;[29]"/>
            <x15:cachedUniqueName index="24" name="[Fixtures].[gameweek_id].&amp;[30]"/>
            <x15:cachedUniqueName index="25" name="[Fixtures].[gameweek_id].&amp;[31]"/>
            <x15:cachedUniqueName index="26" name="[Fixtures].[gameweek_id].&amp;[32]"/>
            <x15:cachedUniqueName index="27" name="[Fixtures].[gameweek_id].&amp;[33]"/>
            <x15:cachedUniqueName index="28" name="[Fixtures].[gameweek_id].&amp;[34]"/>
            <x15:cachedUniqueName index="29" name="[Fixtures].[gameweek_id].&amp;[35]"/>
            <x15:cachedUniqueName index="30" name="[Fixtures].[gameweek_id].&amp;[36]"/>
            <x15:cachedUniqueName index="31" name="[Fixtures].[gameweek_id].&amp;[37]"/>
            <x15:cachedUniqueName index="32" name="[Fixtures].[gameweek_id].&amp;[38]"/>
          </x15:cachedUniqueNames>
        </ext>
      </extLst>
    </cacheField>
    <cacheField name="[Measures].[Average of difficulty]" caption="Average of difficulty" numFmtId="0" hierarchy="55" level="32767"/>
  </cacheFields>
  <cacheHierarchies count="56">
    <cacheHierarchy uniqueName="[Fixtures].[team_name]" caption="team_name" attribute="1" defaultMemberUniqueName="[Fixtures].[team_name].[All]" allUniqueName="[Fixtures].[team_name].[All]" dimensionUniqueName="[Fixtures]" displayFolder="" count="2" memberValueDatatype="130" unbalanced="0">
      <fieldsUsage count="2">
        <fieldUsage x="-1"/>
        <fieldUsage x="0"/>
      </fieldsUsage>
    </cacheHierarchy>
    <cacheHierarchy uniqueName="[Fixtures].[gameweek_id]" caption="gameweek_id" attribute="1" defaultMemberUniqueName="[Fixtures].[gameweek_id].[All]" allUniqueName="[Fixtures].[gameweek_id].[All]" dimensionUniqueName="[Fixtures]" displayFolder="" count="2" memberValueDatatype="20" unbalanced="0">
      <fieldsUsage count="2">
        <fieldUsage x="-1"/>
        <fieldUsage x="1"/>
      </fieldsUsage>
    </cacheHierarchy>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0" memberValueDatatype="130" unbalanced="0"/>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0" memberValueDatatype="130" unbalanced="0"/>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0" memberValueDatatype="130" unbalanced="0"/>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No measures defined]" caption="__No measures defined" measure="1" displayFolder="" count="0" hidden="1"/>
    <cacheHierarchy uniqueName="[Measures].[Sum of points]" caption="Sum of points" measure="1" displayFolder="" measureGroup="Players" count="0" hidden="1">
      <extLst>
        <ext xmlns:x15="http://schemas.microsoft.com/office/spreadsheetml/2010/11/main" uri="{B97F6D7D-B522-45F9-BDA1-12C45D357490}">
          <x15:cacheHierarchy aggregatedColumn="16"/>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7"/>
        </ext>
      </extLst>
    </cacheHierarchy>
    <cacheHierarchy uniqueName="[Measures].[Max of price_m]" caption="Max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_per_million]" caption="Average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 caption="Average of points" measure="1" displayFolder="" measureGroup="Players" count="0" hidden="1">
      <extLst>
        <ext xmlns:x15="http://schemas.microsoft.com/office/spreadsheetml/2010/11/main" uri="{B97F6D7D-B522-45F9-BDA1-12C45D357490}">
          <x15:cacheHierarchy aggregatedColumn="16"/>
        </ext>
      </extLst>
    </cacheHierarchy>
    <cacheHierarchy uniqueName="[Measures].[Average of price_m]" caption="Average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1"/>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2"/>
        </ext>
      </extLst>
    </cacheHierarchy>
    <cacheHierarchy uniqueName="[Measures].[Average of difficulty]" caption="Average of difficulty" measure="1" displayFolder="" measureGroup="Fixtures" count="0" oneField="1" hidden="1">
      <fieldsUsage count="1">
        <fieldUsage x="2"/>
      </fieldsUsage>
      <extLst>
        <ext xmlns:x15="http://schemas.microsoft.com/office/spreadsheetml/2010/11/main" uri="{B97F6D7D-B522-45F9-BDA1-12C45D357490}">
          <x15:cacheHierarchy aggregatedColumn="2"/>
        </ext>
      </extLst>
    </cacheHierarchy>
  </cacheHierarchies>
  <kpis count="0"/>
  <dimensions count="4">
    <dimension name="Fixtures" uniqueName="[Fixtures]" caption="Fixtures"/>
    <dimension measure="1" name="Measures" uniqueName="[Measures]" caption="Measures"/>
    <dimension name="Players" uniqueName="[Players]" caption="Players"/>
    <dimension name="Players 1" uniqueName="[Players 1]" caption="Players 1"/>
  </dimensions>
  <measureGroups count="3">
    <measureGroup name="Fixtures" caption="Fixtures"/>
    <measureGroup name="Players" caption="Players"/>
    <measureGroup name="Players 1" caption="Players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2.739844212963" backgroundQuery="1" createdVersion="8" refreshedVersion="8" minRefreshableVersion="3" recordCount="0" supportSubquery="1" supportAdvancedDrill="1" xr:uid="{65153149-A650-4098-8C0C-E3FAE103F31D}">
  <cacheSource type="external" connectionId="7"/>
  <cacheFields count="6">
    <cacheField name="[Players].[position_short].[position_short]" caption="position_short" numFmtId="0" hierarchy="11" level="1">
      <sharedItems count="4">
        <s v="DEF"/>
        <s v="FWD"/>
        <s v="GKP"/>
        <s v="MID"/>
      </sharedItems>
    </cacheField>
    <cacheField name="[Players].[web_name].[web_name]" caption="web_name" numFmtId="0" hierarchy="5" level="1">
      <sharedItems count="40">
        <s v="Branthwaite"/>
        <s v="Calafiori"/>
        <s v="Guéhi"/>
        <s v="Gvardiol"/>
        <s v="Hall"/>
        <s v="Jacquet"/>
        <s v="Muharemović"/>
        <s v="Tarkowski"/>
        <s v="Virgil"/>
        <s v="Vuskovic"/>
        <s v="Barry"/>
        <s v="Brobbey"/>
        <s v="Calvert-Lewin"/>
        <s v="Emersonn"/>
        <s v="Evanilson"/>
        <s v="Gonzalo"/>
        <s v="Kostoulas"/>
        <s v="McBurnie"/>
        <s v="Strand Larsen"/>
        <s v="Wissa"/>
        <s v="A.Becker"/>
        <s v="Donnarumma"/>
        <s v="Horníček"/>
        <s v="Kelleher"/>
        <s v="Martinez"/>
        <s v="Pickford"/>
        <s v="Raya"/>
        <s v="Sels"/>
        <s v="Suzuki"/>
        <s v="Trafford"/>
        <s v="Barnes"/>
        <s v="Belloumi"/>
        <s v="Gomez"/>
        <s v="Groß"/>
        <s v="Janelt"/>
        <s v="Ødegaard"/>
        <s v="Schade"/>
        <s v="Scott"/>
        <s v="Stach"/>
        <s v="Tavernier"/>
      </sharedItems>
    </cacheField>
    <cacheField name="[Players].[price_band].[price_band]" caption="price_band" numFmtId="0" hierarchy="22" level="1">
      <sharedItems containsSemiMixedTypes="0" containsNonDate="0" containsString="0"/>
    </cacheField>
    <cacheField name="[Measures].[Average of points]" caption="Average of points" numFmtId="0" hierarchy="51" level="32767"/>
    <cacheField name="[Measures].[Average of price_m]" caption="Average of price_m" numFmtId="0" hierarchy="52" level="32767"/>
    <cacheField name="[Measures].[Average of points_per_million]" caption="Average of points_per_million" numFmtId="0" hierarchy="50" level="32767"/>
  </cacheFields>
  <cacheHierarchies count="56">
    <cacheHierarchy uniqueName="[Fixtures].[team_name]" caption="team_name" attribute="1" defaultMemberUniqueName="[Fixtures].[team_name].[All]" allUniqueName="[Fixtures].[team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2" memberValueDatatype="130" unbalanced="0">
      <fieldsUsage count="2">
        <fieldUsage x="-1"/>
        <fieldUsage x="1"/>
      </fieldsUsage>
    </cacheHierarchy>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2" memberValueDatatype="130" unbalanced="0">
      <fieldsUsage count="2">
        <fieldUsage x="-1"/>
        <fieldUsage x="0"/>
      </fieldsUsage>
    </cacheHierarchy>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2" memberValueDatatype="130" unbalanced="0">
      <fieldsUsage count="2">
        <fieldUsage x="-1"/>
        <fieldUsage x="2"/>
      </fieldsUsage>
    </cacheHierarchy>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No measures defined]" caption="__No measures defined" measure="1" displayFolder="" count="0" hidden="1"/>
    <cacheHierarchy uniqueName="[Measures].[Sum of points]" caption="Sum of points" measure="1" displayFolder="" measureGroup="Players" count="0" hidden="1">
      <extLst>
        <ext xmlns:x15="http://schemas.microsoft.com/office/spreadsheetml/2010/11/main" uri="{B97F6D7D-B522-45F9-BDA1-12C45D357490}">
          <x15:cacheHierarchy aggregatedColumn="16"/>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7"/>
        </ext>
      </extLst>
    </cacheHierarchy>
    <cacheHierarchy uniqueName="[Measures].[Max of price_m]" caption="Max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_per_million]" caption="Average of points_per_million" measure="1" displayFolder="" measureGroup="Players" count="0" oneField="1" hidden="1">
      <fieldsUsage count="1">
        <fieldUsage x="5"/>
      </fieldsUsage>
      <extLst>
        <ext xmlns:x15="http://schemas.microsoft.com/office/spreadsheetml/2010/11/main" uri="{B97F6D7D-B522-45F9-BDA1-12C45D357490}">
          <x15:cacheHierarchy aggregatedColumn="21"/>
        </ext>
      </extLst>
    </cacheHierarchy>
    <cacheHierarchy uniqueName="[Measures].[Average of points]" caption="Average of points" measure="1" displayFolder="" measureGroup="Players" count="0" oneField="1" hidden="1">
      <fieldsUsage count="1">
        <fieldUsage x="3"/>
      </fieldsUsage>
      <extLst>
        <ext xmlns:x15="http://schemas.microsoft.com/office/spreadsheetml/2010/11/main" uri="{B97F6D7D-B522-45F9-BDA1-12C45D357490}">
          <x15:cacheHierarchy aggregatedColumn="16"/>
        </ext>
      </extLst>
    </cacheHierarchy>
    <cacheHierarchy uniqueName="[Measures].[Average of price_m]" caption="Average of price_m" measure="1" displayFolder="" measureGroup="Players" count="0" oneField="1" hidden="1">
      <fieldsUsage count="1">
        <fieldUsage x="4"/>
      </fieldsUsage>
      <extLst>
        <ext xmlns:x15="http://schemas.microsoft.com/office/spreadsheetml/2010/11/main" uri="{B97F6D7D-B522-45F9-BDA1-12C45D357490}">
          <x15:cacheHierarchy aggregatedColumn="7"/>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1"/>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2"/>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2"/>
        </ext>
      </extLst>
    </cacheHierarchy>
  </cacheHierarchies>
  <kpis count="0"/>
  <dimensions count="4">
    <dimension name="Fixtures" uniqueName="[Fixtures]" caption="Fixtures"/>
    <dimension measure="1" name="Measures" uniqueName="[Measures]" caption="Measures"/>
    <dimension name="Players" uniqueName="[Players]" caption="Players"/>
    <dimension name="Players 1" uniqueName="[Players 1]" caption="Players 1"/>
  </dimensions>
  <measureGroups count="3">
    <measureGroup name="Fixtures" caption="Fixtures"/>
    <measureGroup name="Players" caption="Players"/>
    <measureGroup name="Players 1" caption="Players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2.739846180557" backgroundQuery="1" createdVersion="8" refreshedVersion="8" minRefreshableVersion="3" recordCount="0" supportSubquery="1" supportAdvancedDrill="1" xr:uid="{0821162C-55F5-4F2B-94F5-F1130D8C5887}">
  <cacheSource type="external" connectionId="7"/>
  <cacheFields count="6">
    <cacheField name="[Players].[position_short].[position_short]" caption="position_short" numFmtId="0" hierarchy="11" level="1">
      <sharedItems containsSemiMixedTypes="0" containsNonDate="0" containsString="0"/>
    </cacheField>
    <cacheField name="[Players].[web_name].[web_name]" caption="web_name" numFmtId="0" hierarchy="5" level="1">
      <sharedItems count="10">
        <s v="Ajayi"/>
        <s v="Bogle"/>
        <s v="De Cuyper"/>
        <s v="Egan"/>
        <s v="Groß"/>
        <s v="Gvardiol"/>
        <s v="Schade"/>
        <s v="Tarkowski"/>
        <s v="Tzolakis"/>
        <s v="Vuskovic"/>
      </sharedItems>
    </cacheField>
    <cacheField name="[Measures].[Sum of points]" caption="Sum of points" numFmtId="0" hierarchy="46" level="32767"/>
    <cacheField name="[Measures].[Max of price_m]" caption="Max of price_m" numFmtId="0" hierarchy="48" level="32767"/>
    <cacheField name="[Measures].[Average of points_per_million]" caption="Average of points_per_million" numFmtId="0" hierarchy="50" level="32767"/>
    <cacheField name="[Players].[price_band].[price_band]" caption="price_band" numFmtId="0" hierarchy="22" level="1">
      <sharedItems containsSemiMixedTypes="0" containsNonDate="0" containsString="0"/>
    </cacheField>
  </cacheFields>
  <cacheHierarchies count="56">
    <cacheHierarchy uniqueName="[Fixtures].[team_name]" caption="team_name" attribute="1" defaultMemberUniqueName="[Fixtures].[team_name].[All]" allUniqueName="[Fixtures].[team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2" memberValueDatatype="130" unbalanced="0">
      <fieldsUsage count="2">
        <fieldUsage x="-1"/>
        <fieldUsage x="1"/>
      </fieldsUsage>
    </cacheHierarchy>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2" memberValueDatatype="130" unbalanced="0">
      <fieldsUsage count="2">
        <fieldUsage x="-1"/>
        <fieldUsage x="0"/>
      </fieldsUsage>
    </cacheHierarchy>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2" memberValueDatatype="130" unbalanced="0">
      <fieldsUsage count="2">
        <fieldUsage x="-1"/>
        <fieldUsage x="5"/>
      </fieldsUsage>
    </cacheHierarchy>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No measures defined]" caption="__No measures defined" measure="1" displayFolder="" count="0" hidden="1"/>
    <cacheHierarchy uniqueName="[Measures].[Sum of points]" caption="Sum of points" measure="1" displayFolder="" measureGroup="Players"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7"/>
        </ext>
      </extLst>
    </cacheHierarchy>
    <cacheHierarchy uniqueName="[Measures].[Max of price_m]" caption="Max of price_m" measure="1" displayFolder="" measureGroup="Players" count="0" oneField="1" hidden="1">
      <fieldsUsage count="1">
        <fieldUsage x="3"/>
      </fieldsUsage>
      <extLst>
        <ext xmlns:x15="http://schemas.microsoft.com/office/spreadsheetml/2010/11/main" uri="{B97F6D7D-B522-45F9-BDA1-12C45D357490}">
          <x15:cacheHierarchy aggregatedColumn="7"/>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_per_million]" caption="Average of points_per_million" measure="1" displayFolder="" measureGroup="Players" count="0" oneField="1" hidden="1">
      <fieldsUsage count="1">
        <fieldUsage x="4"/>
      </fieldsUsage>
      <extLst>
        <ext xmlns:x15="http://schemas.microsoft.com/office/spreadsheetml/2010/11/main" uri="{B97F6D7D-B522-45F9-BDA1-12C45D357490}">
          <x15:cacheHierarchy aggregatedColumn="21"/>
        </ext>
      </extLst>
    </cacheHierarchy>
    <cacheHierarchy uniqueName="[Measures].[Average of points]" caption="Average of points" measure="1" displayFolder="" measureGroup="Players" count="0" hidden="1">
      <extLst>
        <ext xmlns:x15="http://schemas.microsoft.com/office/spreadsheetml/2010/11/main" uri="{B97F6D7D-B522-45F9-BDA1-12C45D357490}">
          <x15:cacheHierarchy aggregatedColumn="16"/>
        </ext>
      </extLst>
    </cacheHierarchy>
    <cacheHierarchy uniqueName="[Measures].[Average of price_m]" caption="Average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1"/>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2"/>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2"/>
        </ext>
      </extLst>
    </cacheHierarchy>
  </cacheHierarchies>
  <kpis count="0"/>
  <dimensions count="4">
    <dimension name="Fixtures" uniqueName="[Fixtures]" caption="Fixtures"/>
    <dimension measure="1" name="Measures" uniqueName="[Measures]" caption="Measures"/>
    <dimension name="Players" uniqueName="[Players]" caption="Players"/>
    <dimension name="Players 1" uniqueName="[Players 1]" caption="Players 1"/>
  </dimensions>
  <measureGroups count="3">
    <measureGroup name="Fixtures" caption="Fixtures"/>
    <measureGroup name="Players" caption="Players"/>
    <measureGroup name="Players 1" caption="Players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2.739842129631" backgroundQuery="1" createdVersion="3" refreshedVersion="8" minRefreshableVersion="3" recordCount="0" supportSubquery="1" supportAdvancedDrill="1" xr:uid="{2B9A03AF-BD69-44B9-8428-80033E7A2265}">
  <cacheSource type="external" connectionId="7">
    <extLst>
      <ext xmlns:x14="http://schemas.microsoft.com/office/spreadsheetml/2009/9/main" uri="{F057638F-6D5F-4e77-A914-E7F072B9BCA8}">
        <x14:sourceConnection name="ThisWorkbookDataModel"/>
      </ext>
    </extLst>
  </cacheSource>
  <cacheFields count="0"/>
  <cacheHierarchies count="56">
    <cacheHierarchy uniqueName="[Fixtures].[team_name]" caption="team_name" attribute="1" defaultMemberUniqueName="[Fixtures].[team_name].[All]" allUniqueName="[Fixtures].[team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0" memberValueDatatype="130" unbalanced="0"/>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0" memberValueDatatype="130" unbalanced="0"/>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2" memberValueDatatype="130" unbalanced="0"/>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No measures defined]" caption="__No measures defined" measure="1" displayFolder="" count="0" hidden="1"/>
    <cacheHierarchy uniqueName="[Measures].[Sum of points]" caption="Sum of points" measure="1" displayFolder="" measureGroup="Players" count="0" hidden="1">
      <extLst>
        <ext xmlns:x15="http://schemas.microsoft.com/office/spreadsheetml/2010/11/main" uri="{B97F6D7D-B522-45F9-BDA1-12C45D357490}">
          <x15:cacheHierarchy aggregatedColumn="16"/>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7"/>
        </ext>
      </extLst>
    </cacheHierarchy>
    <cacheHierarchy uniqueName="[Measures].[Max of price_m]" caption="Max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_per_million]" caption="Average of points_per_million" measure="1" displayFolder="" measureGroup="Players" count="0" hidden="1">
      <extLst>
        <ext xmlns:x15="http://schemas.microsoft.com/office/spreadsheetml/2010/11/main" uri="{B97F6D7D-B522-45F9-BDA1-12C45D357490}">
          <x15:cacheHierarchy aggregatedColumn="21"/>
        </ext>
      </extLst>
    </cacheHierarchy>
    <cacheHierarchy uniqueName="[Measures].[Average of points]" caption="Average of points" measure="1" displayFolder="" measureGroup="Players" count="0" hidden="1">
      <extLst>
        <ext xmlns:x15="http://schemas.microsoft.com/office/spreadsheetml/2010/11/main" uri="{B97F6D7D-B522-45F9-BDA1-12C45D357490}">
          <x15:cacheHierarchy aggregatedColumn="16"/>
        </ext>
      </extLst>
    </cacheHierarchy>
    <cacheHierarchy uniqueName="[Measures].[Average of price_m]" caption="Average of price_m" measure="1" displayFolder="" measureGroup="Players" count="0" hidden="1">
      <extLst>
        <ext xmlns:x15="http://schemas.microsoft.com/office/spreadsheetml/2010/11/main" uri="{B97F6D7D-B522-45F9-BDA1-12C45D357490}">
          <x15:cacheHierarchy aggregatedColumn="7"/>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1"/>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2"/>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2"/>
        </ext>
      </extLst>
    </cacheHierarchy>
  </cacheHierarchies>
  <kpis count="0"/>
  <extLst>
    <ext xmlns:x14="http://schemas.microsoft.com/office/spreadsheetml/2009/9/main" uri="{725AE2AE-9491-48be-B2B4-4EB974FC3084}">
      <x14:pivotCacheDefinition slicerData="1" pivotCacheId="174126638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7AB150-9DC4-4A22-BFC8-0D7C75CCBB0F}" name="PivotTable3" cacheId="47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chartFormat="27">
  <location ref="A14:D24" firstHeaderRow="0" firstDataRow="1" firstDataCol="1" rowPageCount="1" colPageCount="1"/>
  <pivotFields count="6">
    <pivotField axis="axisPage" compact="0" allDrilled="1" outline="0" subtotalTop="0" showAll="0" dataSourceSort="1" defaultSubtotal="0" defaultAttributeDrillState="1"/>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1"/>
  </rowFields>
  <rowItems count="10">
    <i>
      <x v="1"/>
    </i>
    <i>
      <x v="4"/>
    </i>
    <i>
      <x v="2"/>
    </i>
    <i>
      <x v="8"/>
    </i>
    <i>
      <x v="7"/>
    </i>
    <i>
      <x v="5"/>
    </i>
    <i>
      <x/>
    </i>
    <i>
      <x v="9"/>
    </i>
    <i>
      <x v="3"/>
    </i>
    <i>
      <x v="6"/>
    </i>
  </rowItems>
  <colFields count="1">
    <field x="-2"/>
  </colFields>
  <colItems count="3">
    <i>
      <x/>
    </i>
    <i i="1">
      <x v="1"/>
    </i>
    <i i="2">
      <x v="2"/>
    </i>
  </colItems>
  <pageFields count="1">
    <pageField fld="0" hier="11" name="[Players].[position_short].[All]" cap="All"/>
  </pageFields>
  <dataFields count="3">
    <dataField name="Points" fld="2" baseField="0" baseItem="0"/>
    <dataField name="Price" fld="3" subtotal="max" baseField="0" baseItem="0" numFmtId="166"/>
    <dataField name="Avg pts/£m" fld="4" subtotal="average" baseField="0" baseItem="0" numFmtId="2"/>
  </dataFields>
  <conditionalFormats count="1">
    <conditionalFormat priority="4">
      <pivotAreas count="1">
        <pivotArea type="data" outline="0" collapsedLevelsAreSubtotals="1" fieldPosition="0">
          <references count="1">
            <reference field="4294967294" count="1" selected="0">
              <x v="2"/>
            </reference>
          </references>
        </pivotArea>
      </pivotAreas>
    </conditionalFormat>
  </conditional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Points"/>
    <pivotHierarchy dragToData="1"/>
    <pivotHierarchy dragToData="1" caption="Price"/>
    <pivotHierarchy dragToData="1"/>
    <pivotHierarchy dragToData="1" caption="Avg pts/£m"/>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50">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lay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EB6D97-6CF4-4046-9202-0F4A6D2C6BC7}" name="PivotTable2" cacheId="46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location ref="A5:D9" firstHeaderRow="0" firstDataRow="1" firstDataCol="1"/>
  <pivotFields count="6">
    <pivotField axis="axisRow" compact="0" allDrilled="1" outline="0" subtotalTop="0" showAll="0" dataSourceSort="1" defaultSubtotal="0" defaultAttributeDrillState="1">
      <items count="4">
        <item x="0"/>
        <item x="1"/>
        <item x="2"/>
        <item x="3"/>
      </items>
    </pivotField>
    <pivotField compact="0" allDrilled="1" outline="0" subtotalTop="0" showAll="0" measureFilter="1" dataSourceSort="1" defaultSubtotal="0" defaultAttributeDrillState="1">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Fields count="1">
    <field x="0"/>
  </rowFields>
  <rowItems count="4">
    <i>
      <x/>
    </i>
    <i>
      <x v="1"/>
    </i>
    <i>
      <x v="2"/>
    </i>
    <i>
      <x v="3"/>
    </i>
  </rowItems>
  <colFields count="1">
    <field x="-2"/>
  </colFields>
  <colItems count="3">
    <i>
      <x/>
    </i>
    <i i="1">
      <x v="1"/>
    </i>
    <i i="2">
      <x v="2"/>
    </i>
  </colItems>
  <dataFields count="3">
    <dataField name="Avg points" fld="3" subtotal="average" baseField="0" baseItem="0" numFmtId="165"/>
    <dataField name="Avg price" fld="4" subtotal="average" baseField="0" baseItem="0" numFmtId="166"/>
    <dataField name="Avg pts/£m" fld="5" subtotal="average" baseField="0" baseItem="0" numFmtId="167"/>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g pts/£m"/>
    <pivotHierarchy dragToData="1" caption="Avg points"/>
    <pivotHierarchy dragToData="1" caption="Avg price"/>
    <pivotHierarchy dragToData="1"/>
    <pivotHierarchy dragToData="1"/>
    <pivotHierarchy dragToData="1"/>
  </pivotHierarchies>
  <pivotTableStyleInfo name="PivotStyleLight16" showRowHeaders="1" showColHeaders="1" showRowStripes="0" showColStripes="0" showLastColumn="1"/>
  <filters count="1">
    <filter fld="1" type="count" id="1" iMeasureHier="46">
      <autoFilter ref="A1">
        <filterColumn colId="0">
          <top10 val="10" filterVal="10"/>
        </filterColumn>
      </autoFilter>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lay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8C8C57-E0A1-4A9E-B7E3-803C1F012866}" name="PivotTable4" cacheId="46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AH24" firstHeaderRow="1" firstDataRow="2" firstDataCol="1"/>
  <pivotFields count="3">
    <pivotField axis="axisRow" compact="0" allDrilled="1" outline="0"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axis="axisCol" compact="0" allDrilled="1" outline="0"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compact="0" outline="0"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Fields count="1">
    <field x="1"/>
  </colFields>
  <col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colItems>
  <dataFields count="1">
    <dataField name="Average of difficulty" fld="2" subtotal="average" baseField="0" baseItem="0" numFmtId="1"/>
  </dataField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layers]"/>
        <x15:activeTabTopLevelEntity name="[Fixtur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6" xr16:uid="{7059094F-37E2-4998-9823-C5ED57F3FBD3}" autoFormatId="16" applyNumberFormats="0" applyBorderFormats="0" applyFontFormats="0" applyPatternFormats="0" applyAlignmentFormats="0" applyWidthHeightFormats="0">
  <queryTableRefresh nextId="7">
    <queryTableFields count="6">
      <queryTableField id="1" name="refreshed_at" tableColumnId="1"/>
      <queryTableField id="2" name="total_matches" tableColumnId="2"/>
      <queryTableField id="3" name="live_matches" tableColumnId="3"/>
      <queryTableField id="4" name="player_fixture_rows" tableColumnId="4"/>
      <queryTableField id="5" name="latest_gameweek" tableColumnId="5"/>
      <queryTableField id="6" name="latest_match_dat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FDBF5EF2-A3F8-41F9-B7BF-9483AE27891F}" autoFormatId="16" applyNumberFormats="0" applyBorderFormats="0" applyFontFormats="0" applyPatternFormats="0" applyAlignmentFormats="0" applyWidthHeightFormats="0">
  <queryTableRefresh nextId="20">
    <queryTableFields count="19">
      <queryTableField id="1" name="player_id" tableColumnId="1"/>
      <queryTableField id="2" name="web_name" tableColumnId="2"/>
      <queryTableField id="3" name="full_name" tableColumnId="3"/>
      <queryTableField id="4" name="price_m" tableColumnId="4"/>
      <queryTableField id="5" name="selected_by_percent" tableColumnId="5"/>
      <queryTableField id="6" name="status" tableColumnId="6"/>
      <queryTableField id="7" name="team_name" tableColumnId="7"/>
      <queryTableField id="8" name="position_short" tableColumnId="8"/>
      <queryTableField id="9" name="position_name" tableColumnId="9"/>
      <queryTableField id="10" name="fixtures" tableColumnId="10"/>
      <queryTableField id="11" name="appearances" tableColumnId="11"/>
      <queryTableField id="12" name="minutes" tableColumnId="12"/>
      <queryTableField id="13" name="points" tableColumnId="13"/>
      <queryTableField id="14" name="goals" tableColumnId="14"/>
      <queryTableField id="15" name="assists" tableColumnId="15"/>
      <queryTableField id="16" name="clean_sheets" tableColumnId="16"/>
      <queryTableField id="17" name="bonus" tableColumnId="17"/>
      <queryTableField id="18" name="points_per_million" tableColumnId="18"/>
      <queryTableField id="19" name="price_band" tableColumnId="19"/>
    </queryTableFields>
  </queryTableRefresh>
  <extLst>
    <ext xmlns:x15="http://schemas.microsoft.com/office/spreadsheetml/2010/11/main" uri="{883FBD77-0823-4a55-B5E3-86C4891E6966}">
      <x15:queryTable sourceDataName="Query - Play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243916F0-4AF8-4035-BEDB-E6F5BDA5092D}" autoFormatId="16" applyNumberFormats="0" applyBorderFormats="0" applyFontFormats="0" applyPatternFormats="0" applyAlignmentFormats="0" applyWidthHeightFormats="0">
  <queryTableRefresh nextId="5">
    <queryTableFields count="4">
      <queryTableField id="1" name="team_name" tableColumnId="1"/>
      <queryTableField id="2" name="gameweek_id" tableColumnId="2"/>
      <queryTableField id="3" name="difficulty" tableColumnId="3"/>
      <queryTableField id="4" name="venue" tableColumnId="4"/>
    </queryTableFields>
  </queryTableRefresh>
  <extLst>
    <ext xmlns:x15="http://schemas.microsoft.com/office/spreadsheetml/2010/11/main" uri="{883FBD77-0823-4a55-B5E3-86C4891E6966}">
      <x15:queryTable sourceDataName="Query - Fixture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 xr10:uid="{A95A9B8A-7047-43E7-88D3-3546C465DA6F}" sourceName="[Players].[price_band]">
  <pivotTables>
    <pivotTable tabId="1" name="PivotTable3"/>
    <pivotTable tabId="1" name="PivotTable2"/>
  </pivotTables>
  <data>
    <olap pivotCacheId="1741266384">
      <levels count="2">
        <level uniqueName="[Players].[price_band].[(All)]" sourceCaption="(All)" count="0"/>
        <level uniqueName="[Players].[price_band].[price_band]" sourceCaption="price_band" count="5">
          <ranges>
            <range startItem="0">
              <i n="[Players].[price_band].&amp;[11.0 and over]" c="11.0 and over"/>
              <i n="[Players].[price_band].&amp;[5.0 to 6.9]" c="5.0 to 6.9"/>
              <i n="[Players].[price_band].&amp;[7.0 to 8.9]" c="7.0 to 8.9"/>
              <i n="[Players].[price_band].&amp;[9.0 to 10.9]" c="9.0 to 10.9"/>
              <i n="[Players].[price_band].&amp;[Under 5.0]" c="Under 5.0"/>
            </range>
          </ranges>
        </level>
      </levels>
      <selections count="1">
        <selection n="[Players].[price_ba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_band" xr10:uid="{943650B4-4F57-44EB-B886-98A63206B0D4}" cache="Slicer_price_band" caption="price_band" level="1" style="SlicerStyleLight3"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260952-CE43-4FAC-B2ED-CFAEB7CA5DC0}" name="Refresh" displayName="Refresh" ref="A1:F2" tableType="queryTable" totalsRowShown="0">
  <autoFilter ref="A1:F2" xr:uid="{47260952-CE43-4FAC-B2ED-CFAEB7CA5DC0}"/>
  <tableColumns count="6">
    <tableColumn id="1" xr3:uid="{D3B6D04D-1A32-44BA-8AB8-1038BCD1DF19}" uniqueName="1" name="refreshed_at" queryTableFieldId="1" dataDxfId="5"/>
    <tableColumn id="2" xr3:uid="{DFF7A08D-D476-4485-AF3B-222980A7BC4F}" uniqueName="2" name="total_matches" queryTableFieldId="2" dataDxfId="4"/>
    <tableColumn id="3" xr3:uid="{F196E000-A4BB-4509-88D9-1536E84E988F}" uniqueName="3" name="live_matches" queryTableFieldId="3" dataDxfId="3"/>
    <tableColumn id="4" xr3:uid="{87A53F3C-005B-44F8-B348-EACEA7A301EE}" uniqueName="4" name="player_fixture_rows" queryTableFieldId="4" dataDxfId="2"/>
    <tableColumn id="5" xr3:uid="{2C13A3AC-3F1F-4BA0-BC89-85FAE728F205}" uniqueName="5" name="latest_gameweek" queryTableFieldId="5" dataDxfId="1"/>
    <tableColumn id="6" xr3:uid="{428E47EE-64CD-44F9-9783-1D5B3915E33D}" uniqueName="6" name="latest_match_date" queryTableFieldId="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25611EE-2CF3-433C-96D1-1AFC9C3A5CEC}" name="Players" displayName="Players" ref="A1:S244" tableType="queryTable" totalsRowShown="0">
  <autoFilter ref="A1:S244" xr:uid="{725611EE-2CF3-433C-96D1-1AFC9C3A5CEC}"/>
  <tableColumns count="19">
    <tableColumn id="1" xr3:uid="{3BC6AC42-036E-4533-BE3B-AC10CBB0D592}" uniqueName="1" name="player_id" queryTableFieldId="1"/>
    <tableColumn id="2" xr3:uid="{723556B2-A75C-4412-B342-27168EBE000B}" uniqueName="2" name="web_name" queryTableFieldId="2" dataDxfId="18"/>
    <tableColumn id="3" xr3:uid="{C4731C3F-6491-4CFF-A37B-F989AE1E3E89}" uniqueName="3" name="full_name" queryTableFieldId="3" dataDxfId="17"/>
    <tableColumn id="4" xr3:uid="{6A6A7C39-D002-4DBB-A4A4-EEBD43A1BB72}" uniqueName="4" name="price_m" queryTableFieldId="4"/>
    <tableColumn id="5" xr3:uid="{E512F3C8-4B68-4EDB-BC2A-73EB537B5BEE}" uniqueName="5" name="selected_by_percent" queryTableFieldId="5"/>
    <tableColumn id="6" xr3:uid="{CB6BA7D4-6B75-4622-B277-9314C1853A66}" uniqueName="6" name="status" queryTableFieldId="6" dataDxfId="16"/>
    <tableColumn id="7" xr3:uid="{C6A5B11A-C39D-4EFE-AB7D-10CBDF5CDC8C}" uniqueName="7" name="team_name" queryTableFieldId="7" dataDxfId="15"/>
    <tableColumn id="8" xr3:uid="{36FE0214-D386-4810-88F8-63F41A16FCF3}" uniqueName="8" name="position_short" queryTableFieldId="8" dataDxfId="14"/>
    <tableColumn id="9" xr3:uid="{CB1E0731-5C5C-46A4-A6F6-66608404B32F}" uniqueName="9" name="position_name" queryTableFieldId="9" dataDxfId="13"/>
    <tableColumn id="10" xr3:uid="{06751EFD-9706-4BA2-810E-50330E5FB7E8}" uniqueName="10" name="fixtures" queryTableFieldId="10" dataDxfId="12"/>
    <tableColumn id="11" xr3:uid="{F58372D5-D488-4846-90E5-6DB715035C3C}" uniqueName="11" name="appearances" queryTableFieldId="11" dataDxfId="11"/>
    <tableColumn id="12" xr3:uid="{A289A82B-9745-4E2B-BAFE-1C7B24F910B1}" uniqueName="12" name="minutes" queryTableFieldId="12"/>
    <tableColumn id="13" xr3:uid="{6F00784E-3561-442A-88D9-15F5FDC1FDF7}" uniqueName="13" name="points" queryTableFieldId="13"/>
    <tableColumn id="14" xr3:uid="{6142D92C-B225-4537-B048-2480FB33C094}" uniqueName="14" name="goals" queryTableFieldId="14" dataDxfId="10"/>
    <tableColumn id="15" xr3:uid="{0FF6CD34-C407-47D7-9DAB-6DFD1A287843}" uniqueName="15" name="assists" queryTableFieldId="15" dataDxfId="9"/>
    <tableColumn id="16" xr3:uid="{77D85C73-E58A-4336-B064-258CEC7DFB2D}" uniqueName="16" name="clean_sheets" queryTableFieldId="16" dataDxfId="8"/>
    <tableColumn id="17" xr3:uid="{F38FFC9F-4753-49EB-AA87-3942D81984E9}" uniqueName="17" name="bonus" queryTableFieldId="17" dataDxfId="7"/>
    <tableColumn id="18" xr3:uid="{23E5C6E0-636D-4246-BC5F-E36F4A3BF4F0}" uniqueName="18" name="points_per_million" queryTableFieldId="18"/>
    <tableColumn id="19" xr3:uid="{331759ED-E96C-4B3E-AA26-E303C1A21362}" uniqueName="19" name="price_band" queryTableFieldId="19" dataDxf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ADF3108-5EB4-47BF-86B4-4AD56AE906DF}" name="Fixtures" displayName="Fixtures" ref="A249:D909" tableType="queryTable" totalsRowShown="0">
  <autoFilter ref="A249:D909" xr:uid="{FADF3108-5EB4-47BF-86B4-4AD56AE906DF}"/>
  <tableColumns count="4">
    <tableColumn id="1" xr3:uid="{64DFFADF-04CF-4B78-9700-82C8D98681F0}" uniqueName="1" name="team_name" queryTableFieldId="1" dataDxfId="20"/>
    <tableColumn id="2" xr3:uid="{AC054F20-50A2-4908-9E73-1515B412AA18}" uniqueName="2" name="gameweek_id" queryTableFieldId="2"/>
    <tableColumn id="3" xr3:uid="{C6A6C03D-16D9-4FEB-9AE9-2AA155053EEF}" uniqueName="3" name="difficulty" queryTableFieldId="3"/>
    <tableColumn id="4" xr3:uid="{277416E4-A86E-41B7-BFD9-463831613956}" uniqueName="4" name="venue" queryTableFieldId="4" dataDxf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490E8-BBF6-4F03-985C-FD1AEC5AFB75}">
  <dimension ref="A1:F2"/>
  <sheetViews>
    <sheetView workbookViewId="0">
      <selection sqref="A1:F2"/>
    </sheetView>
  </sheetViews>
  <sheetFormatPr defaultRowHeight="15" x14ac:dyDescent="0.25"/>
  <cols>
    <col min="1" max="1" width="15.5703125" bestFit="1" customWidth="1"/>
    <col min="2" max="2" width="16.140625" bestFit="1" customWidth="1"/>
    <col min="3" max="3" width="15.140625" bestFit="1" customWidth="1"/>
    <col min="4" max="4" width="21.140625" bestFit="1" customWidth="1"/>
    <col min="5" max="5" width="19" bestFit="1" customWidth="1"/>
    <col min="6" max="6" width="20" bestFit="1" customWidth="1"/>
  </cols>
  <sheetData>
    <row r="1" spans="1:6" x14ac:dyDescent="0.25">
      <c r="A1" t="s">
        <v>555</v>
      </c>
      <c r="B1" t="s">
        <v>556</v>
      </c>
      <c r="C1" t="s">
        <v>557</v>
      </c>
      <c r="D1" t="s">
        <v>558</v>
      </c>
      <c r="E1" t="s">
        <v>559</v>
      </c>
      <c r="F1" t="s">
        <v>560</v>
      </c>
    </row>
    <row r="2" spans="1:6" x14ac:dyDescent="0.25">
      <c r="A2" s="9">
        <v>46292.509409722225</v>
      </c>
      <c r="B2" s="1">
        <v>4230</v>
      </c>
      <c r="C2" s="1">
        <v>50</v>
      </c>
      <c r="D2" s="1">
        <v>3216</v>
      </c>
      <c r="E2" s="1">
        <v>5</v>
      </c>
      <c r="F2" s="1" t="s">
        <v>561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F18DA-17BD-41F9-88BA-29612C68DCD3}">
  <dimension ref="A1"/>
  <sheetViews>
    <sheetView workbookViewId="0">
      <selection sqref="A1:D661"/>
    </sheetView>
  </sheetViews>
  <sheetFormatPr defaultRowHeight="15" x14ac:dyDescent="0.25"/>
  <cols>
    <col min="1" max="1" width="21.42578125" bestFit="1" customWidth="1"/>
    <col min="2" max="2" width="15.5703125" bestFit="1" customWidth="1"/>
    <col min="3" max="3" width="11.42578125" bestFit="1" customWidth="1"/>
    <col min="4" max="4" width="8.8554687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227C-3012-45B4-B5BF-804082F1D0DE}">
  <dimension ref="A1:S909"/>
  <sheetViews>
    <sheetView workbookViewId="0">
      <selection activeCell="R1" sqref="R1"/>
    </sheetView>
  </sheetViews>
  <sheetFormatPr defaultRowHeight="15" x14ac:dyDescent="0.25"/>
  <cols>
    <col min="1" max="1" width="11.42578125" bestFit="1" customWidth="1"/>
    <col min="2" max="2" width="17.42578125" bestFit="1" customWidth="1"/>
    <col min="3" max="3" width="49.42578125" bestFit="1" customWidth="1"/>
    <col min="4" max="4" width="10.42578125" bestFit="1" customWidth="1"/>
    <col min="5" max="5" width="22.28515625" bestFit="1" customWidth="1"/>
    <col min="6" max="6" width="8.85546875" bestFit="1" customWidth="1"/>
    <col min="7" max="7" width="21.5703125" bestFit="1" customWidth="1"/>
    <col min="8" max="8" width="16.42578125" bestFit="1" customWidth="1"/>
    <col min="9" max="9" width="16.7109375" bestFit="1" customWidth="1"/>
    <col min="10" max="10" width="10.28515625" bestFit="1" customWidth="1"/>
    <col min="11" max="11" width="14.7109375" bestFit="1" customWidth="1"/>
    <col min="12" max="12" width="10.7109375" bestFit="1" customWidth="1"/>
    <col min="13" max="13" width="9" bestFit="1" customWidth="1"/>
    <col min="14" max="14" width="8" bestFit="1" customWidth="1"/>
    <col min="15" max="15" width="9.5703125" bestFit="1" customWidth="1"/>
    <col min="16" max="16" width="15.140625" bestFit="1" customWidth="1"/>
    <col min="17" max="17" width="8.85546875" bestFit="1" customWidth="1"/>
    <col min="18" max="18" width="20.28515625" bestFit="1" customWidth="1"/>
    <col min="19" max="19" width="13.14062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A2">
        <v>109</v>
      </c>
      <c r="B2" s="1" t="s">
        <v>92</v>
      </c>
      <c r="C2" s="1" t="s">
        <v>93</v>
      </c>
      <c r="D2">
        <v>4.5</v>
      </c>
      <c r="E2">
        <v>21.6</v>
      </c>
      <c r="F2" s="1" t="s">
        <v>21</v>
      </c>
      <c r="G2" s="1" t="s">
        <v>34</v>
      </c>
      <c r="H2" s="1" t="s">
        <v>46</v>
      </c>
      <c r="I2" s="1" t="s">
        <v>47</v>
      </c>
      <c r="J2" s="1" t="s">
        <v>25</v>
      </c>
      <c r="K2" s="1" t="s">
        <v>26</v>
      </c>
      <c r="L2">
        <v>450</v>
      </c>
      <c r="M2">
        <v>23</v>
      </c>
      <c r="N2" s="1" t="s">
        <v>28</v>
      </c>
      <c r="O2" s="1" t="s">
        <v>28</v>
      </c>
      <c r="P2" s="1" t="s">
        <v>37</v>
      </c>
      <c r="Q2" s="1" t="s">
        <v>28</v>
      </c>
      <c r="R2">
        <v>5.1100000000000003</v>
      </c>
      <c r="S2" s="1" t="s">
        <v>31</v>
      </c>
    </row>
    <row r="3" spans="1:19" x14ac:dyDescent="0.25">
      <c r="A3">
        <v>230</v>
      </c>
      <c r="B3" s="1" t="s">
        <v>118</v>
      </c>
      <c r="C3" s="1" t="s">
        <v>119</v>
      </c>
      <c r="D3">
        <v>5.5</v>
      </c>
      <c r="E3">
        <v>2.4</v>
      </c>
      <c r="F3" s="1" t="s">
        <v>21</v>
      </c>
      <c r="G3" s="1" t="s">
        <v>50</v>
      </c>
      <c r="H3" s="1" t="s">
        <v>23</v>
      </c>
      <c r="I3" s="1" t="s">
        <v>24</v>
      </c>
      <c r="J3" s="1" t="s">
        <v>25</v>
      </c>
      <c r="K3" s="1" t="s">
        <v>26</v>
      </c>
      <c r="L3">
        <v>450</v>
      </c>
      <c r="M3">
        <v>27</v>
      </c>
      <c r="N3" s="1" t="s">
        <v>28</v>
      </c>
      <c r="O3" s="1" t="s">
        <v>28</v>
      </c>
      <c r="P3" s="1" t="s">
        <v>37</v>
      </c>
      <c r="Q3" s="1" t="s">
        <v>28</v>
      </c>
      <c r="R3">
        <v>4.91</v>
      </c>
      <c r="S3" s="1" t="s">
        <v>39</v>
      </c>
    </row>
    <row r="4" spans="1:19" x14ac:dyDescent="0.25">
      <c r="A4">
        <v>114</v>
      </c>
      <c r="B4" s="1" t="s">
        <v>161</v>
      </c>
      <c r="C4" s="1" t="s">
        <v>162</v>
      </c>
      <c r="D4">
        <v>4.5</v>
      </c>
      <c r="E4">
        <v>0.3</v>
      </c>
      <c r="F4" s="1" t="s">
        <v>21</v>
      </c>
      <c r="G4" s="1" t="s">
        <v>34</v>
      </c>
      <c r="H4" s="1" t="s">
        <v>23</v>
      </c>
      <c r="I4" s="1" t="s">
        <v>24</v>
      </c>
      <c r="J4" s="1" t="s">
        <v>25</v>
      </c>
      <c r="K4" s="1" t="s">
        <v>26</v>
      </c>
      <c r="L4">
        <v>437</v>
      </c>
      <c r="M4">
        <v>19</v>
      </c>
      <c r="N4" s="1" t="s">
        <v>28</v>
      </c>
      <c r="O4" s="1" t="s">
        <v>28</v>
      </c>
      <c r="P4" s="1" t="s">
        <v>37</v>
      </c>
      <c r="Q4" s="1" t="s">
        <v>28</v>
      </c>
      <c r="R4">
        <v>4.22</v>
      </c>
      <c r="S4" s="1" t="s">
        <v>31</v>
      </c>
    </row>
    <row r="5" spans="1:19" x14ac:dyDescent="0.25">
      <c r="A5">
        <v>82</v>
      </c>
      <c r="B5" s="1" t="s">
        <v>180</v>
      </c>
      <c r="C5" s="1" t="s">
        <v>181</v>
      </c>
      <c r="D5">
        <v>5</v>
      </c>
      <c r="E5">
        <v>6.1</v>
      </c>
      <c r="F5" s="1" t="s">
        <v>21</v>
      </c>
      <c r="G5" s="1" t="s">
        <v>63</v>
      </c>
      <c r="H5" s="1" t="s">
        <v>46</v>
      </c>
      <c r="I5" s="1" t="s">
        <v>47</v>
      </c>
      <c r="J5" s="1" t="s">
        <v>25</v>
      </c>
      <c r="K5" s="1" t="s">
        <v>26</v>
      </c>
      <c r="L5">
        <v>450</v>
      </c>
      <c r="M5">
        <v>20</v>
      </c>
      <c r="N5" s="1" t="s">
        <v>28</v>
      </c>
      <c r="O5" s="1" t="s">
        <v>28</v>
      </c>
      <c r="P5" s="1" t="s">
        <v>27</v>
      </c>
      <c r="Q5" s="1" t="s">
        <v>28</v>
      </c>
      <c r="R5">
        <v>4</v>
      </c>
      <c r="S5" s="1" t="s">
        <v>39</v>
      </c>
    </row>
    <row r="6" spans="1:19" x14ac:dyDescent="0.25">
      <c r="A6">
        <v>496</v>
      </c>
      <c r="B6" s="1" t="s">
        <v>173</v>
      </c>
      <c r="C6" s="1" t="s">
        <v>174</v>
      </c>
      <c r="D6">
        <v>4.5</v>
      </c>
      <c r="E6">
        <v>17.3</v>
      </c>
      <c r="F6" s="1" t="s">
        <v>21</v>
      </c>
      <c r="G6" s="1" t="s">
        <v>122</v>
      </c>
      <c r="H6" s="1" t="s">
        <v>46</v>
      </c>
      <c r="I6" s="1" t="s">
        <v>47</v>
      </c>
      <c r="J6" s="1" t="s">
        <v>25</v>
      </c>
      <c r="K6" s="1" t="s">
        <v>26</v>
      </c>
      <c r="L6">
        <v>450</v>
      </c>
      <c r="M6">
        <v>18</v>
      </c>
      <c r="N6" s="1" t="s">
        <v>28</v>
      </c>
      <c r="O6" s="1" t="s">
        <v>28</v>
      </c>
      <c r="P6" s="1" t="s">
        <v>27</v>
      </c>
      <c r="Q6" s="1" t="s">
        <v>28</v>
      </c>
      <c r="R6">
        <v>4</v>
      </c>
      <c r="S6" s="1" t="s">
        <v>31</v>
      </c>
    </row>
    <row r="7" spans="1:19" x14ac:dyDescent="0.25">
      <c r="A7">
        <v>356</v>
      </c>
      <c r="B7" s="1" t="s">
        <v>192</v>
      </c>
      <c r="C7" s="1" t="s">
        <v>193</v>
      </c>
      <c r="D7">
        <v>6.5</v>
      </c>
      <c r="E7">
        <v>16.2</v>
      </c>
      <c r="F7" s="1" t="s">
        <v>21</v>
      </c>
      <c r="G7" s="1" t="s">
        <v>117</v>
      </c>
      <c r="H7" s="1" t="s">
        <v>23</v>
      </c>
      <c r="I7" s="1" t="s">
        <v>24</v>
      </c>
      <c r="J7" s="1" t="s">
        <v>25</v>
      </c>
      <c r="K7" s="1" t="s">
        <v>26</v>
      </c>
      <c r="L7">
        <v>450</v>
      </c>
      <c r="M7">
        <v>25</v>
      </c>
      <c r="N7" s="1" t="s">
        <v>28</v>
      </c>
      <c r="O7" s="1" t="s">
        <v>28</v>
      </c>
      <c r="P7" s="1" t="s">
        <v>37</v>
      </c>
      <c r="Q7" s="1" t="s">
        <v>28</v>
      </c>
      <c r="R7">
        <v>3.85</v>
      </c>
      <c r="S7" s="1" t="s">
        <v>39</v>
      </c>
    </row>
    <row r="8" spans="1:19" x14ac:dyDescent="0.25">
      <c r="A8">
        <v>280</v>
      </c>
      <c r="B8" s="1" t="s">
        <v>218</v>
      </c>
      <c r="C8" s="1" t="s">
        <v>219</v>
      </c>
      <c r="D8">
        <v>4</v>
      </c>
      <c r="E8">
        <v>0.7</v>
      </c>
      <c r="F8" s="1" t="s">
        <v>21</v>
      </c>
      <c r="G8" s="1" t="s">
        <v>45</v>
      </c>
      <c r="H8" s="1" t="s">
        <v>23</v>
      </c>
      <c r="I8" s="1" t="s">
        <v>24</v>
      </c>
      <c r="J8" s="1" t="s">
        <v>25</v>
      </c>
      <c r="K8" s="1" t="s">
        <v>26</v>
      </c>
      <c r="L8">
        <v>348</v>
      </c>
      <c r="M8">
        <v>14</v>
      </c>
      <c r="N8" s="1" t="s">
        <v>28</v>
      </c>
      <c r="O8" s="1" t="s">
        <v>28</v>
      </c>
      <c r="P8" s="1" t="s">
        <v>27</v>
      </c>
      <c r="Q8" s="1" t="s">
        <v>28</v>
      </c>
      <c r="R8">
        <v>3.5</v>
      </c>
      <c r="S8" s="1" t="s">
        <v>31</v>
      </c>
    </row>
    <row r="9" spans="1:19" x14ac:dyDescent="0.25">
      <c r="A9">
        <v>384</v>
      </c>
      <c r="B9" s="1" t="s">
        <v>222</v>
      </c>
      <c r="C9" s="1" t="s">
        <v>223</v>
      </c>
      <c r="D9">
        <v>5.5</v>
      </c>
      <c r="E9">
        <v>7.6</v>
      </c>
      <c r="F9" s="1" t="s">
        <v>21</v>
      </c>
      <c r="G9" s="1" t="s">
        <v>54</v>
      </c>
      <c r="H9" s="1" t="s">
        <v>46</v>
      </c>
      <c r="I9" s="1" t="s">
        <v>47</v>
      </c>
      <c r="J9" s="1" t="s">
        <v>25</v>
      </c>
      <c r="K9" s="1" t="s">
        <v>26</v>
      </c>
      <c r="L9">
        <v>450</v>
      </c>
      <c r="M9">
        <v>19</v>
      </c>
      <c r="N9" s="1" t="s">
        <v>28</v>
      </c>
      <c r="O9" s="1" t="s">
        <v>28</v>
      </c>
      <c r="P9" s="1" t="s">
        <v>27</v>
      </c>
      <c r="Q9" s="1" t="s">
        <v>28</v>
      </c>
      <c r="R9">
        <v>3.45</v>
      </c>
      <c r="S9" s="1" t="s">
        <v>39</v>
      </c>
    </row>
    <row r="10" spans="1:19" x14ac:dyDescent="0.25">
      <c r="A10">
        <v>91</v>
      </c>
      <c r="B10" s="1" t="s">
        <v>250</v>
      </c>
      <c r="C10" s="1" t="s">
        <v>251</v>
      </c>
      <c r="D10">
        <v>4.5</v>
      </c>
      <c r="E10">
        <v>0.1</v>
      </c>
      <c r="F10" s="1" t="s">
        <v>21</v>
      </c>
      <c r="G10" s="1" t="s">
        <v>75</v>
      </c>
      <c r="H10" s="1" t="s">
        <v>23</v>
      </c>
      <c r="I10" s="1" t="s">
        <v>24</v>
      </c>
      <c r="J10" s="1" t="s">
        <v>25</v>
      </c>
      <c r="K10" s="1" t="s">
        <v>29</v>
      </c>
      <c r="L10">
        <v>282</v>
      </c>
      <c r="M10">
        <v>14</v>
      </c>
      <c r="N10" s="1" t="s">
        <v>28</v>
      </c>
      <c r="O10" s="1" t="s">
        <v>28</v>
      </c>
      <c r="P10" s="1" t="s">
        <v>42</v>
      </c>
      <c r="Q10" s="1" t="s">
        <v>28</v>
      </c>
      <c r="R10">
        <v>3.11</v>
      </c>
      <c r="S10" s="1" t="s">
        <v>31</v>
      </c>
    </row>
    <row r="11" spans="1:19" x14ac:dyDescent="0.25">
      <c r="A11">
        <v>331</v>
      </c>
      <c r="B11" s="1" t="s">
        <v>254</v>
      </c>
      <c r="C11" s="1" t="s">
        <v>255</v>
      </c>
      <c r="D11">
        <v>4.5</v>
      </c>
      <c r="E11">
        <v>0.1</v>
      </c>
      <c r="F11" s="1" t="s">
        <v>21</v>
      </c>
      <c r="G11" s="1" t="s">
        <v>22</v>
      </c>
      <c r="H11" s="1" t="s">
        <v>23</v>
      </c>
      <c r="I11" s="1" t="s">
        <v>24</v>
      </c>
      <c r="J11" s="1" t="s">
        <v>25</v>
      </c>
      <c r="K11" s="1" t="s">
        <v>37</v>
      </c>
      <c r="L11">
        <v>252</v>
      </c>
      <c r="M11">
        <v>14</v>
      </c>
      <c r="N11" s="1" t="s">
        <v>28</v>
      </c>
      <c r="O11" s="1" t="s">
        <v>28</v>
      </c>
      <c r="P11" s="1" t="s">
        <v>27</v>
      </c>
      <c r="Q11" s="1" t="s">
        <v>28</v>
      </c>
      <c r="R11">
        <v>3.11</v>
      </c>
      <c r="S11" s="1" t="s">
        <v>31</v>
      </c>
    </row>
    <row r="12" spans="1:19" x14ac:dyDescent="0.25">
      <c r="A12">
        <v>390</v>
      </c>
      <c r="B12" s="1" t="s">
        <v>258</v>
      </c>
      <c r="C12" s="1" t="s">
        <v>259</v>
      </c>
      <c r="D12">
        <v>5.5</v>
      </c>
      <c r="E12">
        <v>1.9</v>
      </c>
      <c r="F12" s="1" t="s">
        <v>21</v>
      </c>
      <c r="G12" s="1" t="s">
        <v>54</v>
      </c>
      <c r="H12" s="1" t="s">
        <v>23</v>
      </c>
      <c r="I12" s="1" t="s">
        <v>24</v>
      </c>
      <c r="J12" s="1" t="s">
        <v>25</v>
      </c>
      <c r="K12" s="1" t="s">
        <v>26</v>
      </c>
      <c r="L12">
        <v>450</v>
      </c>
      <c r="M12">
        <v>17</v>
      </c>
      <c r="N12" s="1" t="s">
        <v>28</v>
      </c>
      <c r="O12" s="1" t="s">
        <v>28</v>
      </c>
      <c r="P12" s="1" t="s">
        <v>27</v>
      </c>
      <c r="Q12" s="1" t="s">
        <v>28</v>
      </c>
      <c r="R12">
        <v>3.09</v>
      </c>
      <c r="S12" s="1" t="s">
        <v>39</v>
      </c>
    </row>
    <row r="13" spans="1:19" x14ac:dyDescent="0.25">
      <c r="A13">
        <v>259</v>
      </c>
      <c r="B13" s="1" t="s">
        <v>264</v>
      </c>
      <c r="C13" s="1" t="s">
        <v>265</v>
      </c>
      <c r="D13">
        <v>4</v>
      </c>
      <c r="E13">
        <v>12.7</v>
      </c>
      <c r="F13" s="1" t="s">
        <v>21</v>
      </c>
      <c r="G13" s="1" t="s">
        <v>66</v>
      </c>
      <c r="H13" s="1" t="s">
        <v>23</v>
      </c>
      <c r="I13" s="1" t="s">
        <v>24</v>
      </c>
      <c r="J13" s="1" t="s">
        <v>25</v>
      </c>
      <c r="K13" s="1" t="s">
        <v>26</v>
      </c>
      <c r="L13">
        <v>450</v>
      </c>
      <c r="M13">
        <v>12</v>
      </c>
      <c r="N13" s="1" t="s">
        <v>28</v>
      </c>
      <c r="O13" s="1" t="s">
        <v>28</v>
      </c>
      <c r="P13" s="1" t="s">
        <v>28</v>
      </c>
      <c r="Q13" s="1" t="s">
        <v>28</v>
      </c>
      <c r="R13">
        <v>3</v>
      </c>
      <c r="S13" s="1" t="s">
        <v>31</v>
      </c>
    </row>
    <row r="14" spans="1:19" x14ac:dyDescent="0.25">
      <c r="A14">
        <v>447</v>
      </c>
      <c r="B14" s="1" t="s">
        <v>266</v>
      </c>
      <c r="C14" s="1" t="s">
        <v>267</v>
      </c>
      <c r="D14">
        <v>5</v>
      </c>
      <c r="E14">
        <v>0.7</v>
      </c>
      <c r="F14" s="1" t="s">
        <v>21</v>
      </c>
      <c r="G14" s="1" t="s">
        <v>80</v>
      </c>
      <c r="H14" s="1" t="s">
        <v>23</v>
      </c>
      <c r="I14" s="1" t="s">
        <v>24</v>
      </c>
      <c r="J14" s="1" t="s">
        <v>25</v>
      </c>
      <c r="K14" s="1" t="s">
        <v>26</v>
      </c>
      <c r="L14">
        <v>450</v>
      </c>
      <c r="M14">
        <v>15</v>
      </c>
      <c r="N14" s="1" t="s">
        <v>28</v>
      </c>
      <c r="O14" s="1" t="s">
        <v>28</v>
      </c>
      <c r="P14" s="1" t="s">
        <v>42</v>
      </c>
      <c r="Q14" s="1" t="s">
        <v>28</v>
      </c>
      <c r="R14">
        <v>3</v>
      </c>
      <c r="S14" s="1" t="s">
        <v>39</v>
      </c>
    </row>
    <row r="15" spans="1:19" x14ac:dyDescent="0.25">
      <c r="A15">
        <v>113</v>
      </c>
      <c r="B15" s="1" t="s">
        <v>275</v>
      </c>
      <c r="C15" s="1" t="s">
        <v>276</v>
      </c>
      <c r="D15">
        <v>4.4000000000000004</v>
      </c>
      <c r="E15">
        <v>1.6</v>
      </c>
      <c r="F15" s="1" t="s">
        <v>21</v>
      </c>
      <c r="G15" s="1" t="s">
        <v>34</v>
      </c>
      <c r="H15" s="1" t="s">
        <v>23</v>
      </c>
      <c r="I15" s="1" t="s">
        <v>24</v>
      </c>
      <c r="J15" s="1" t="s">
        <v>25</v>
      </c>
      <c r="K15" s="1" t="s">
        <v>29</v>
      </c>
      <c r="L15">
        <v>332</v>
      </c>
      <c r="M15">
        <v>13</v>
      </c>
      <c r="N15" s="1" t="s">
        <v>28</v>
      </c>
      <c r="O15" s="1" t="s">
        <v>28</v>
      </c>
      <c r="P15" s="1" t="s">
        <v>27</v>
      </c>
      <c r="Q15" s="1" t="s">
        <v>28</v>
      </c>
      <c r="R15">
        <v>2.95</v>
      </c>
      <c r="S15" s="1" t="s">
        <v>31</v>
      </c>
    </row>
    <row r="16" spans="1:19" x14ac:dyDescent="0.25">
      <c r="A16">
        <v>598</v>
      </c>
      <c r="B16" s="1" t="s">
        <v>279</v>
      </c>
      <c r="C16" s="1" t="s">
        <v>280</v>
      </c>
      <c r="D16">
        <v>4.5</v>
      </c>
      <c r="E16">
        <v>0.1</v>
      </c>
      <c r="F16" s="1" t="s">
        <v>21</v>
      </c>
      <c r="G16" s="1" t="s">
        <v>22</v>
      </c>
      <c r="H16" s="1" t="s">
        <v>23</v>
      </c>
      <c r="I16" s="1" t="s">
        <v>24</v>
      </c>
      <c r="J16" s="1" t="s">
        <v>25</v>
      </c>
      <c r="K16" s="1" t="s">
        <v>29</v>
      </c>
      <c r="L16">
        <v>326</v>
      </c>
      <c r="M16">
        <v>13</v>
      </c>
      <c r="N16" s="1" t="s">
        <v>28</v>
      </c>
      <c r="O16" s="1" t="s">
        <v>28</v>
      </c>
      <c r="P16" s="1" t="s">
        <v>42</v>
      </c>
      <c r="Q16" s="1" t="s">
        <v>28</v>
      </c>
      <c r="R16">
        <v>2.89</v>
      </c>
      <c r="S16" s="1" t="s">
        <v>31</v>
      </c>
    </row>
    <row r="17" spans="1:19" x14ac:dyDescent="0.25">
      <c r="A17">
        <v>445</v>
      </c>
      <c r="B17" s="1" t="s">
        <v>295</v>
      </c>
      <c r="C17" s="1" t="s">
        <v>296</v>
      </c>
      <c r="D17">
        <v>5</v>
      </c>
      <c r="E17">
        <v>2.2000000000000002</v>
      </c>
      <c r="F17" s="1" t="s">
        <v>21</v>
      </c>
      <c r="G17" s="1" t="s">
        <v>80</v>
      </c>
      <c r="H17" s="1" t="s">
        <v>23</v>
      </c>
      <c r="I17" s="1" t="s">
        <v>24</v>
      </c>
      <c r="J17" s="1" t="s">
        <v>25</v>
      </c>
      <c r="K17" s="1" t="s">
        <v>26</v>
      </c>
      <c r="L17">
        <v>450</v>
      </c>
      <c r="M17">
        <v>14</v>
      </c>
      <c r="N17" s="1" t="s">
        <v>28</v>
      </c>
      <c r="O17" s="1" t="s">
        <v>28</v>
      </c>
      <c r="P17" s="1" t="s">
        <v>42</v>
      </c>
      <c r="Q17" s="1" t="s">
        <v>28</v>
      </c>
      <c r="R17">
        <v>2.8</v>
      </c>
      <c r="S17" s="1" t="s">
        <v>39</v>
      </c>
    </row>
    <row r="18" spans="1:19" x14ac:dyDescent="0.25">
      <c r="A18">
        <v>467</v>
      </c>
      <c r="B18" s="1" t="s">
        <v>289</v>
      </c>
      <c r="C18" s="1" t="s">
        <v>290</v>
      </c>
      <c r="D18">
        <v>5</v>
      </c>
      <c r="E18">
        <v>1.6</v>
      </c>
      <c r="F18" s="1" t="s">
        <v>21</v>
      </c>
      <c r="G18" s="1" t="s">
        <v>170</v>
      </c>
      <c r="H18" s="1" t="s">
        <v>46</v>
      </c>
      <c r="I18" s="1" t="s">
        <v>47</v>
      </c>
      <c r="J18" s="1" t="s">
        <v>25</v>
      </c>
      <c r="K18" s="1" t="s">
        <v>26</v>
      </c>
      <c r="L18">
        <v>450</v>
      </c>
      <c r="M18">
        <v>14</v>
      </c>
      <c r="N18" s="1" t="s">
        <v>28</v>
      </c>
      <c r="O18" s="1" t="s">
        <v>28</v>
      </c>
      <c r="P18" s="1" t="s">
        <v>42</v>
      </c>
      <c r="Q18" s="1" t="s">
        <v>28</v>
      </c>
      <c r="R18">
        <v>2.8</v>
      </c>
      <c r="S18" s="1" t="s">
        <v>39</v>
      </c>
    </row>
    <row r="19" spans="1:19" x14ac:dyDescent="0.25">
      <c r="A19">
        <v>567</v>
      </c>
      <c r="B19" s="1" t="s">
        <v>291</v>
      </c>
      <c r="C19" s="1" t="s">
        <v>292</v>
      </c>
      <c r="D19">
        <v>5</v>
      </c>
      <c r="E19">
        <v>1.5</v>
      </c>
      <c r="F19" s="1" t="s">
        <v>21</v>
      </c>
      <c r="G19" s="1" t="s">
        <v>80</v>
      </c>
      <c r="H19" s="1" t="s">
        <v>46</v>
      </c>
      <c r="I19" s="1" t="s">
        <v>47</v>
      </c>
      <c r="J19" s="1" t="s">
        <v>25</v>
      </c>
      <c r="K19" s="1" t="s">
        <v>26</v>
      </c>
      <c r="L19">
        <v>450</v>
      </c>
      <c r="M19">
        <v>14</v>
      </c>
      <c r="N19" s="1" t="s">
        <v>28</v>
      </c>
      <c r="O19" s="1" t="s">
        <v>28</v>
      </c>
      <c r="P19" s="1" t="s">
        <v>42</v>
      </c>
      <c r="Q19" s="1" t="s">
        <v>28</v>
      </c>
      <c r="R19">
        <v>2.8</v>
      </c>
      <c r="S19" s="1" t="s">
        <v>39</v>
      </c>
    </row>
    <row r="20" spans="1:19" x14ac:dyDescent="0.25">
      <c r="A20">
        <v>202</v>
      </c>
      <c r="B20" s="1" t="s">
        <v>293</v>
      </c>
      <c r="C20" s="1" t="s">
        <v>294</v>
      </c>
      <c r="D20">
        <v>5</v>
      </c>
      <c r="E20">
        <v>0.6</v>
      </c>
      <c r="F20" s="1" t="s">
        <v>21</v>
      </c>
      <c r="G20" s="1" t="s">
        <v>91</v>
      </c>
      <c r="H20" s="1" t="s">
        <v>23</v>
      </c>
      <c r="I20" s="1" t="s">
        <v>24</v>
      </c>
      <c r="J20" s="1" t="s">
        <v>25</v>
      </c>
      <c r="K20" s="1" t="s">
        <v>26</v>
      </c>
      <c r="L20">
        <v>450</v>
      </c>
      <c r="M20">
        <v>14</v>
      </c>
      <c r="N20" s="1" t="s">
        <v>28</v>
      </c>
      <c r="O20" s="1" t="s">
        <v>28</v>
      </c>
      <c r="P20" s="1" t="s">
        <v>42</v>
      </c>
      <c r="Q20" s="1" t="s">
        <v>28</v>
      </c>
      <c r="R20">
        <v>2.8</v>
      </c>
      <c r="S20" s="1" t="s">
        <v>39</v>
      </c>
    </row>
    <row r="21" spans="1:19" x14ac:dyDescent="0.25">
      <c r="A21">
        <v>516</v>
      </c>
      <c r="B21" s="1" t="s">
        <v>303</v>
      </c>
      <c r="C21" s="1" t="s">
        <v>304</v>
      </c>
      <c r="D21">
        <v>5.5</v>
      </c>
      <c r="E21">
        <v>0.2</v>
      </c>
      <c r="F21" s="1" t="s">
        <v>21</v>
      </c>
      <c r="G21" s="1" t="s">
        <v>122</v>
      </c>
      <c r="H21" s="1" t="s">
        <v>35</v>
      </c>
      <c r="I21" s="1" t="s">
        <v>36</v>
      </c>
      <c r="J21" s="1" t="s">
        <v>25</v>
      </c>
      <c r="K21" s="1" t="s">
        <v>26</v>
      </c>
      <c r="L21">
        <v>370</v>
      </c>
      <c r="M21">
        <v>15</v>
      </c>
      <c r="N21" s="1" t="s">
        <v>28</v>
      </c>
      <c r="O21" s="1" t="s">
        <v>28</v>
      </c>
      <c r="P21" s="1" t="s">
        <v>27</v>
      </c>
      <c r="Q21" s="1" t="s">
        <v>28</v>
      </c>
      <c r="R21">
        <v>2.73</v>
      </c>
      <c r="S21" s="1" t="s">
        <v>39</v>
      </c>
    </row>
    <row r="22" spans="1:19" x14ac:dyDescent="0.25">
      <c r="A22">
        <v>254</v>
      </c>
      <c r="B22" s="1" t="s">
        <v>310</v>
      </c>
      <c r="C22" s="1" t="s">
        <v>311</v>
      </c>
      <c r="D22">
        <v>4.5</v>
      </c>
      <c r="E22">
        <v>1.5</v>
      </c>
      <c r="F22" s="1" t="s">
        <v>21</v>
      </c>
      <c r="G22" s="1" t="s">
        <v>149</v>
      </c>
      <c r="H22" s="1" t="s">
        <v>23</v>
      </c>
      <c r="I22" s="1" t="s">
        <v>24</v>
      </c>
      <c r="J22" s="1" t="s">
        <v>25</v>
      </c>
      <c r="K22" s="1" t="s">
        <v>26</v>
      </c>
      <c r="L22">
        <v>429</v>
      </c>
      <c r="M22">
        <v>12</v>
      </c>
      <c r="N22" s="1" t="s">
        <v>28</v>
      </c>
      <c r="O22" s="1" t="s">
        <v>28</v>
      </c>
      <c r="P22" s="1" t="s">
        <v>42</v>
      </c>
      <c r="Q22" s="1" t="s">
        <v>28</v>
      </c>
      <c r="R22">
        <v>2.67</v>
      </c>
      <c r="S22" s="1" t="s">
        <v>31</v>
      </c>
    </row>
    <row r="23" spans="1:19" x14ac:dyDescent="0.25">
      <c r="A23">
        <v>183</v>
      </c>
      <c r="B23" s="1" t="s">
        <v>312</v>
      </c>
      <c r="C23" s="1" t="s">
        <v>313</v>
      </c>
      <c r="D23">
        <v>4.9000000000000004</v>
      </c>
      <c r="E23">
        <v>0.1</v>
      </c>
      <c r="F23" s="1" t="s">
        <v>21</v>
      </c>
      <c r="G23" s="1" t="s">
        <v>75</v>
      </c>
      <c r="H23" s="1" t="s">
        <v>35</v>
      </c>
      <c r="I23" s="1" t="s">
        <v>36</v>
      </c>
      <c r="J23" s="1" t="s">
        <v>25</v>
      </c>
      <c r="K23" s="1" t="s">
        <v>26</v>
      </c>
      <c r="L23">
        <v>297</v>
      </c>
      <c r="M23">
        <v>13</v>
      </c>
      <c r="N23" s="1" t="s">
        <v>28</v>
      </c>
      <c r="O23" s="1" t="s">
        <v>28</v>
      </c>
      <c r="P23" s="1" t="s">
        <v>27</v>
      </c>
      <c r="Q23" s="1" t="s">
        <v>28</v>
      </c>
      <c r="R23">
        <v>2.65</v>
      </c>
      <c r="S23" s="1" t="s">
        <v>31</v>
      </c>
    </row>
    <row r="24" spans="1:19" x14ac:dyDescent="0.25">
      <c r="A24">
        <v>455</v>
      </c>
      <c r="B24" s="1" t="s">
        <v>314</v>
      </c>
      <c r="C24" s="1" t="s">
        <v>315</v>
      </c>
      <c r="D24">
        <v>5.3</v>
      </c>
      <c r="E24">
        <v>1.9</v>
      </c>
      <c r="F24" s="1" t="s">
        <v>21</v>
      </c>
      <c r="G24" s="1" t="s">
        <v>122</v>
      </c>
      <c r="H24" s="1" t="s">
        <v>35</v>
      </c>
      <c r="I24" s="1" t="s">
        <v>36</v>
      </c>
      <c r="J24" s="1" t="s">
        <v>25</v>
      </c>
      <c r="K24" s="1" t="s">
        <v>26</v>
      </c>
      <c r="L24">
        <v>427</v>
      </c>
      <c r="M24">
        <v>14</v>
      </c>
      <c r="N24" s="1" t="s">
        <v>28</v>
      </c>
      <c r="O24" s="1" t="s">
        <v>28</v>
      </c>
      <c r="P24" s="1" t="s">
        <v>27</v>
      </c>
      <c r="Q24" s="1" t="s">
        <v>28</v>
      </c>
      <c r="R24">
        <v>2.64</v>
      </c>
      <c r="S24" s="1" t="s">
        <v>39</v>
      </c>
    </row>
    <row r="25" spans="1:19" x14ac:dyDescent="0.25">
      <c r="A25">
        <v>31</v>
      </c>
      <c r="B25" s="1" t="s">
        <v>319</v>
      </c>
      <c r="C25" s="1" t="s">
        <v>320</v>
      </c>
      <c r="D25">
        <v>4.5999999999999996</v>
      </c>
      <c r="E25">
        <v>19.399999999999999</v>
      </c>
      <c r="F25" s="1" t="s">
        <v>21</v>
      </c>
      <c r="G25" s="1" t="s">
        <v>104</v>
      </c>
      <c r="H25" s="1" t="s">
        <v>23</v>
      </c>
      <c r="I25" s="1" t="s">
        <v>24</v>
      </c>
      <c r="J25" s="1" t="s">
        <v>25</v>
      </c>
      <c r="K25" s="1" t="s">
        <v>29</v>
      </c>
      <c r="L25">
        <v>281</v>
      </c>
      <c r="M25">
        <v>12</v>
      </c>
      <c r="N25" s="1" t="s">
        <v>28</v>
      </c>
      <c r="O25" s="1" t="s">
        <v>28</v>
      </c>
      <c r="P25" s="1" t="s">
        <v>42</v>
      </c>
      <c r="Q25" s="1" t="s">
        <v>28</v>
      </c>
      <c r="R25">
        <v>2.61</v>
      </c>
      <c r="S25" s="1" t="s">
        <v>31</v>
      </c>
    </row>
    <row r="26" spans="1:19" x14ac:dyDescent="0.25">
      <c r="A26">
        <v>566</v>
      </c>
      <c r="B26" s="1" t="s">
        <v>325</v>
      </c>
      <c r="C26" s="1" t="s">
        <v>326</v>
      </c>
      <c r="D26">
        <v>5</v>
      </c>
      <c r="E26">
        <v>0.4</v>
      </c>
      <c r="F26" s="1" t="s">
        <v>21</v>
      </c>
      <c r="G26" s="1" t="s">
        <v>96</v>
      </c>
      <c r="H26" s="1" t="s">
        <v>23</v>
      </c>
      <c r="I26" s="1" t="s">
        <v>24</v>
      </c>
      <c r="J26" s="1" t="s">
        <v>25</v>
      </c>
      <c r="K26" s="1" t="s">
        <v>26</v>
      </c>
      <c r="L26">
        <v>450</v>
      </c>
      <c r="M26">
        <v>13</v>
      </c>
      <c r="N26" s="1" t="s">
        <v>28</v>
      </c>
      <c r="O26" s="1" t="s">
        <v>28</v>
      </c>
      <c r="P26" s="1" t="s">
        <v>28</v>
      </c>
      <c r="Q26" s="1" t="s">
        <v>28</v>
      </c>
      <c r="R26">
        <v>2.6</v>
      </c>
      <c r="S26" s="1" t="s">
        <v>39</v>
      </c>
    </row>
    <row r="27" spans="1:19" x14ac:dyDescent="0.25">
      <c r="A27">
        <v>558</v>
      </c>
      <c r="B27" s="1" t="s">
        <v>323</v>
      </c>
      <c r="C27" s="1" t="s">
        <v>324</v>
      </c>
      <c r="D27">
        <v>5</v>
      </c>
      <c r="E27">
        <v>0.1</v>
      </c>
      <c r="F27" s="1" t="s">
        <v>21</v>
      </c>
      <c r="G27" s="1" t="s">
        <v>170</v>
      </c>
      <c r="H27" s="1" t="s">
        <v>35</v>
      </c>
      <c r="I27" s="1" t="s">
        <v>36</v>
      </c>
      <c r="J27" s="1" t="s">
        <v>25</v>
      </c>
      <c r="K27" s="1" t="s">
        <v>26</v>
      </c>
      <c r="L27">
        <v>376</v>
      </c>
      <c r="M27">
        <v>13</v>
      </c>
      <c r="N27" s="1" t="s">
        <v>28</v>
      </c>
      <c r="O27" s="1" t="s">
        <v>28</v>
      </c>
      <c r="P27" s="1" t="s">
        <v>42</v>
      </c>
      <c r="Q27" s="1" t="s">
        <v>28</v>
      </c>
      <c r="R27">
        <v>2.6</v>
      </c>
      <c r="S27" s="1" t="s">
        <v>39</v>
      </c>
    </row>
    <row r="28" spans="1:19" x14ac:dyDescent="0.25">
      <c r="A28">
        <v>580</v>
      </c>
      <c r="B28" s="1" t="s">
        <v>321</v>
      </c>
      <c r="C28" s="1" t="s">
        <v>322</v>
      </c>
      <c r="D28">
        <v>5</v>
      </c>
      <c r="E28">
        <v>0.1</v>
      </c>
      <c r="F28" s="1" t="s">
        <v>21</v>
      </c>
      <c r="G28" s="1" t="s">
        <v>149</v>
      </c>
      <c r="H28" s="1" t="s">
        <v>35</v>
      </c>
      <c r="I28" s="1" t="s">
        <v>36</v>
      </c>
      <c r="J28" s="1" t="s">
        <v>25</v>
      </c>
      <c r="K28" s="1" t="s">
        <v>26</v>
      </c>
      <c r="L28">
        <v>303</v>
      </c>
      <c r="M28">
        <v>13</v>
      </c>
      <c r="N28" s="1" t="s">
        <v>28</v>
      </c>
      <c r="O28" s="1" t="s">
        <v>28</v>
      </c>
      <c r="P28" s="1" t="s">
        <v>42</v>
      </c>
      <c r="Q28" s="1" t="s">
        <v>28</v>
      </c>
      <c r="R28">
        <v>2.6</v>
      </c>
      <c r="S28" s="1" t="s">
        <v>39</v>
      </c>
    </row>
    <row r="29" spans="1:19" x14ac:dyDescent="0.25">
      <c r="A29">
        <v>304</v>
      </c>
      <c r="B29" s="1" t="s">
        <v>341</v>
      </c>
      <c r="C29" s="1" t="s">
        <v>342</v>
      </c>
      <c r="D29">
        <v>4</v>
      </c>
      <c r="E29">
        <v>2.7</v>
      </c>
      <c r="F29" s="1" t="s">
        <v>21</v>
      </c>
      <c r="G29" s="1" t="s">
        <v>66</v>
      </c>
      <c r="H29" s="1" t="s">
        <v>23</v>
      </c>
      <c r="I29" s="1" t="s">
        <v>24</v>
      </c>
      <c r="J29" s="1" t="s">
        <v>25</v>
      </c>
      <c r="K29" s="1" t="s">
        <v>26</v>
      </c>
      <c r="L29">
        <v>450</v>
      </c>
      <c r="M29">
        <v>10</v>
      </c>
      <c r="N29" s="1" t="s">
        <v>28</v>
      </c>
      <c r="O29" s="1" t="s">
        <v>28</v>
      </c>
      <c r="P29" s="1" t="s">
        <v>28</v>
      </c>
      <c r="Q29" s="1" t="s">
        <v>28</v>
      </c>
      <c r="R29">
        <v>2.5</v>
      </c>
      <c r="S29" s="1" t="s">
        <v>31</v>
      </c>
    </row>
    <row r="30" spans="1:19" x14ac:dyDescent="0.25">
      <c r="A30">
        <v>474</v>
      </c>
      <c r="B30" s="1" t="s">
        <v>345</v>
      </c>
      <c r="C30" s="1" t="s">
        <v>346</v>
      </c>
      <c r="D30">
        <v>4.5</v>
      </c>
      <c r="E30">
        <v>0.2</v>
      </c>
      <c r="F30" s="1" t="s">
        <v>21</v>
      </c>
      <c r="G30" s="1" t="s">
        <v>170</v>
      </c>
      <c r="H30" s="1" t="s">
        <v>23</v>
      </c>
      <c r="I30" s="1" t="s">
        <v>24</v>
      </c>
      <c r="J30" s="1" t="s">
        <v>25</v>
      </c>
      <c r="K30" s="1" t="s">
        <v>29</v>
      </c>
      <c r="L30">
        <v>360</v>
      </c>
      <c r="M30">
        <v>11</v>
      </c>
      <c r="N30" s="1" t="s">
        <v>28</v>
      </c>
      <c r="O30" s="1" t="s">
        <v>28</v>
      </c>
      <c r="P30" s="1" t="s">
        <v>42</v>
      </c>
      <c r="Q30" s="1" t="s">
        <v>28</v>
      </c>
      <c r="R30">
        <v>2.44</v>
      </c>
      <c r="S30" s="1" t="s">
        <v>31</v>
      </c>
    </row>
    <row r="31" spans="1:19" x14ac:dyDescent="0.25">
      <c r="A31">
        <v>358</v>
      </c>
      <c r="B31" s="1" t="s">
        <v>351</v>
      </c>
      <c r="C31" s="1" t="s">
        <v>352</v>
      </c>
      <c r="D31">
        <v>5.4</v>
      </c>
      <c r="E31">
        <v>2.2000000000000002</v>
      </c>
      <c r="F31" s="1" t="s">
        <v>21</v>
      </c>
      <c r="G31" s="1" t="s">
        <v>117</v>
      </c>
      <c r="H31" s="1" t="s">
        <v>23</v>
      </c>
      <c r="I31" s="1" t="s">
        <v>24</v>
      </c>
      <c r="J31" s="1" t="s">
        <v>25</v>
      </c>
      <c r="K31" s="1" t="s">
        <v>26</v>
      </c>
      <c r="L31">
        <v>385</v>
      </c>
      <c r="M31">
        <v>13</v>
      </c>
      <c r="N31" s="1" t="s">
        <v>28</v>
      </c>
      <c r="O31" s="1" t="s">
        <v>28</v>
      </c>
      <c r="P31" s="1" t="s">
        <v>27</v>
      </c>
      <c r="Q31" s="1" t="s">
        <v>28</v>
      </c>
      <c r="R31">
        <v>2.41</v>
      </c>
      <c r="S31" s="1" t="s">
        <v>39</v>
      </c>
    </row>
    <row r="32" spans="1:19" x14ac:dyDescent="0.25">
      <c r="A32">
        <v>43</v>
      </c>
      <c r="B32" s="1" t="s">
        <v>349</v>
      </c>
      <c r="C32" s="1" t="s">
        <v>350</v>
      </c>
      <c r="D32">
        <v>5.8</v>
      </c>
      <c r="E32">
        <v>1.5</v>
      </c>
      <c r="F32" s="1" t="s">
        <v>21</v>
      </c>
      <c r="G32" s="1" t="s">
        <v>177</v>
      </c>
      <c r="H32" s="1" t="s">
        <v>35</v>
      </c>
      <c r="I32" s="1" t="s">
        <v>36</v>
      </c>
      <c r="J32" s="1" t="s">
        <v>25</v>
      </c>
      <c r="K32" s="1" t="s">
        <v>26</v>
      </c>
      <c r="L32">
        <v>402</v>
      </c>
      <c r="M32">
        <v>14</v>
      </c>
      <c r="N32" s="1" t="s">
        <v>28</v>
      </c>
      <c r="O32" s="1" t="s">
        <v>28</v>
      </c>
      <c r="P32" s="1" t="s">
        <v>28</v>
      </c>
      <c r="Q32" s="1" t="s">
        <v>28</v>
      </c>
      <c r="R32">
        <v>2.41</v>
      </c>
      <c r="S32" s="1" t="s">
        <v>39</v>
      </c>
    </row>
    <row r="33" spans="1:19" x14ac:dyDescent="0.25">
      <c r="A33">
        <v>73</v>
      </c>
      <c r="B33" s="1" t="s">
        <v>355</v>
      </c>
      <c r="C33" s="1" t="s">
        <v>356</v>
      </c>
      <c r="D33">
        <v>5</v>
      </c>
      <c r="E33">
        <v>0.3</v>
      </c>
      <c r="F33" s="1" t="s">
        <v>21</v>
      </c>
      <c r="G33" s="1" t="s">
        <v>96</v>
      </c>
      <c r="H33" s="1" t="s">
        <v>35</v>
      </c>
      <c r="I33" s="1" t="s">
        <v>36</v>
      </c>
      <c r="J33" s="1" t="s">
        <v>25</v>
      </c>
      <c r="K33" s="1" t="s">
        <v>26</v>
      </c>
      <c r="L33">
        <v>279</v>
      </c>
      <c r="M33">
        <v>12</v>
      </c>
      <c r="N33" s="1" t="s">
        <v>28</v>
      </c>
      <c r="O33" s="1" t="s">
        <v>28</v>
      </c>
      <c r="P33" s="1" t="s">
        <v>28</v>
      </c>
      <c r="Q33" s="1" t="s">
        <v>28</v>
      </c>
      <c r="R33">
        <v>2.4</v>
      </c>
      <c r="S33" s="1" t="s">
        <v>39</v>
      </c>
    </row>
    <row r="34" spans="1:19" x14ac:dyDescent="0.25">
      <c r="A34">
        <v>481</v>
      </c>
      <c r="B34" s="1" t="s">
        <v>357</v>
      </c>
      <c r="C34" s="1" t="s">
        <v>358</v>
      </c>
      <c r="D34">
        <v>6.3</v>
      </c>
      <c r="E34">
        <v>4</v>
      </c>
      <c r="F34" s="1" t="s">
        <v>21</v>
      </c>
      <c r="G34" s="1" t="s">
        <v>54</v>
      </c>
      <c r="H34" s="1" t="s">
        <v>35</v>
      </c>
      <c r="I34" s="1" t="s">
        <v>36</v>
      </c>
      <c r="J34" s="1" t="s">
        <v>25</v>
      </c>
      <c r="K34" s="1" t="s">
        <v>26</v>
      </c>
      <c r="L34">
        <v>413</v>
      </c>
      <c r="M34">
        <v>15</v>
      </c>
      <c r="N34" s="1" t="s">
        <v>28</v>
      </c>
      <c r="O34" s="1" t="s">
        <v>28</v>
      </c>
      <c r="P34" s="1" t="s">
        <v>27</v>
      </c>
      <c r="Q34" s="1" t="s">
        <v>28</v>
      </c>
      <c r="R34">
        <v>2.38</v>
      </c>
      <c r="S34" s="1" t="s">
        <v>39</v>
      </c>
    </row>
    <row r="35" spans="1:19" x14ac:dyDescent="0.25">
      <c r="A35">
        <v>264</v>
      </c>
      <c r="B35" s="1" t="s">
        <v>361</v>
      </c>
      <c r="C35" s="1" t="s">
        <v>362</v>
      </c>
      <c r="D35">
        <v>5.5</v>
      </c>
      <c r="E35">
        <v>0.3</v>
      </c>
      <c r="F35" s="1" t="s">
        <v>21</v>
      </c>
      <c r="G35" s="1" t="s">
        <v>149</v>
      </c>
      <c r="H35" s="1" t="s">
        <v>35</v>
      </c>
      <c r="I35" s="1" t="s">
        <v>36</v>
      </c>
      <c r="J35" s="1" t="s">
        <v>25</v>
      </c>
      <c r="K35" s="1" t="s">
        <v>26</v>
      </c>
      <c r="L35">
        <v>343</v>
      </c>
      <c r="M35">
        <v>13</v>
      </c>
      <c r="N35" s="1" t="s">
        <v>28</v>
      </c>
      <c r="O35" s="1" t="s">
        <v>28</v>
      </c>
      <c r="P35" s="1" t="s">
        <v>37</v>
      </c>
      <c r="Q35" s="1" t="s">
        <v>28</v>
      </c>
      <c r="R35">
        <v>2.36</v>
      </c>
      <c r="S35" s="1" t="s">
        <v>39</v>
      </c>
    </row>
    <row r="36" spans="1:19" x14ac:dyDescent="0.25">
      <c r="A36">
        <v>534</v>
      </c>
      <c r="B36" s="1" t="s">
        <v>367</v>
      </c>
      <c r="C36" s="1" t="s">
        <v>368</v>
      </c>
      <c r="D36">
        <v>4.3</v>
      </c>
      <c r="E36">
        <v>2.8</v>
      </c>
      <c r="F36" s="1" t="s">
        <v>21</v>
      </c>
      <c r="G36" s="1" t="s">
        <v>165</v>
      </c>
      <c r="H36" s="1" t="s">
        <v>23</v>
      </c>
      <c r="I36" s="1" t="s">
        <v>24</v>
      </c>
      <c r="J36" s="1" t="s">
        <v>25</v>
      </c>
      <c r="K36" s="1" t="s">
        <v>29</v>
      </c>
      <c r="L36">
        <v>206</v>
      </c>
      <c r="M36">
        <v>10</v>
      </c>
      <c r="N36" s="1" t="s">
        <v>28</v>
      </c>
      <c r="O36" s="1" t="s">
        <v>28</v>
      </c>
      <c r="P36" s="1" t="s">
        <v>42</v>
      </c>
      <c r="Q36" s="1" t="s">
        <v>28</v>
      </c>
      <c r="R36">
        <v>2.33</v>
      </c>
      <c r="S36" s="1" t="s">
        <v>31</v>
      </c>
    </row>
    <row r="37" spans="1:19" x14ac:dyDescent="0.25">
      <c r="A37">
        <v>184</v>
      </c>
      <c r="B37" s="1" t="s">
        <v>375</v>
      </c>
      <c r="C37" s="1" t="s">
        <v>376</v>
      </c>
      <c r="D37">
        <v>4.9000000000000004</v>
      </c>
      <c r="E37">
        <v>0.1</v>
      </c>
      <c r="F37" s="1" t="s">
        <v>21</v>
      </c>
      <c r="G37" s="1" t="s">
        <v>75</v>
      </c>
      <c r="H37" s="1" t="s">
        <v>35</v>
      </c>
      <c r="I37" s="1" t="s">
        <v>36</v>
      </c>
      <c r="J37" s="1" t="s">
        <v>25</v>
      </c>
      <c r="K37" s="1" t="s">
        <v>26</v>
      </c>
      <c r="L37">
        <v>443</v>
      </c>
      <c r="M37">
        <v>11</v>
      </c>
      <c r="N37" s="1" t="s">
        <v>28</v>
      </c>
      <c r="O37" s="1" t="s">
        <v>28</v>
      </c>
      <c r="P37" s="1" t="s">
        <v>42</v>
      </c>
      <c r="Q37" s="1" t="s">
        <v>28</v>
      </c>
      <c r="R37">
        <v>2.2400000000000002</v>
      </c>
      <c r="S37" s="1" t="s">
        <v>31</v>
      </c>
    </row>
    <row r="38" spans="1:19" x14ac:dyDescent="0.25">
      <c r="A38">
        <v>412</v>
      </c>
      <c r="B38" s="1" t="s">
        <v>379</v>
      </c>
      <c r="C38" s="1" t="s">
        <v>380</v>
      </c>
      <c r="D38">
        <v>4.9000000000000004</v>
      </c>
      <c r="E38">
        <v>9.9</v>
      </c>
      <c r="F38" s="1" t="s">
        <v>21</v>
      </c>
      <c r="G38" s="1" t="s">
        <v>177</v>
      </c>
      <c r="H38" s="1" t="s">
        <v>46</v>
      </c>
      <c r="I38" s="1" t="s">
        <v>47</v>
      </c>
      <c r="J38" s="1" t="s">
        <v>25</v>
      </c>
      <c r="K38" s="1" t="s">
        <v>26</v>
      </c>
      <c r="L38">
        <v>450</v>
      </c>
      <c r="M38">
        <v>11</v>
      </c>
      <c r="N38" s="1" t="s">
        <v>28</v>
      </c>
      <c r="O38" s="1" t="s">
        <v>28</v>
      </c>
      <c r="P38" s="1" t="s">
        <v>28</v>
      </c>
      <c r="Q38" s="1" t="s">
        <v>28</v>
      </c>
      <c r="R38">
        <v>2.2400000000000002</v>
      </c>
      <c r="S38" s="1" t="s">
        <v>31</v>
      </c>
    </row>
    <row r="39" spans="1:19" x14ac:dyDescent="0.25">
      <c r="A39">
        <v>529</v>
      </c>
      <c r="B39" s="1" t="s">
        <v>371</v>
      </c>
      <c r="C39" s="1" t="s">
        <v>372</v>
      </c>
      <c r="D39">
        <v>4.9000000000000004</v>
      </c>
      <c r="E39">
        <v>2.5</v>
      </c>
      <c r="F39" s="1" t="s">
        <v>21</v>
      </c>
      <c r="G39" s="1" t="s">
        <v>165</v>
      </c>
      <c r="H39" s="1" t="s">
        <v>46</v>
      </c>
      <c r="I39" s="1" t="s">
        <v>47</v>
      </c>
      <c r="J39" s="1" t="s">
        <v>25</v>
      </c>
      <c r="K39" s="1" t="s">
        <v>26</v>
      </c>
      <c r="L39">
        <v>450</v>
      </c>
      <c r="M39">
        <v>11</v>
      </c>
      <c r="N39" s="1" t="s">
        <v>28</v>
      </c>
      <c r="O39" s="1" t="s">
        <v>28</v>
      </c>
      <c r="P39" s="1" t="s">
        <v>42</v>
      </c>
      <c r="Q39" s="1" t="s">
        <v>28</v>
      </c>
      <c r="R39">
        <v>2.2400000000000002</v>
      </c>
      <c r="S39" s="1" t="s">
        <v>31</v>
      </c>
    </row>
    <row r="40" spans="1:19" x14ac:dyDescent="0.25">
      <c r="A40">
        <v>265</v>
      </c>
      <c r="B40" s="1" t="s">
        <v>377</v>
      </c>
      <c r="C40" s="1" t="s">
        <v>378</v>
      </c>
      <c r="D40">
        <v>4.9000000000000004</v>
      </c>
      <c r="E40">
        <v>0.3</v>
      </c>
      <c r="F40" s="1" t="s">
        <v>21</v>
      </c>
      <c r="G40" s="1" t="s">
        <v>149</v>
      </c>
      <c r="H40" s="1" t="s">
        <v>35</v>
      </c>
      <c r="I40" s="1" t="s">
        <v>36</v>
      </c>
      <c r="J40" s="1" t="s">
        <v>25</v>
      </c>
      <c r="K40" s="1" t="s">
        <v>26</v>
      </c>
      <c r="L40">
        <v>349</v>
      </c>
      <c r="M40">
        <v>11</v>
      </c>
      <c r="N40" s="1" t="s">
        <v>28</v>
      </c>
      <c r="O40" s="1" t="s">
        <v>28</v>
      </c>
      <c r="P40" s="1" t="s">
        <v>27</v>
      </c>
      <c r="Q40" s="1" t="s">
        <v>28</v>
      </c>
      <c r="R40">
        <v>2.2400000000000002</v>
      </c>
      <c r="S40" s="1" t="s">
        <v>31</v>
      </c>
    </row>
    <row r="41" spans="1:19" x14ac:dyDescent="0.25">
      <c r="A41">
        <v>210</v>
      </c>
      <c r="B41" s="1" t="s">
        <v>383</v>
      </c>
      <c r="C41" s="1" t="s">
        <v>384</v>
      </c>
      <c r="D41">
        <v>5.4</v>
      </c>
      <c r="E41">
        <v>0.7</v>
      </c>
      <c r="F41" s="1" t="s">
        <v>21</v>
      </c>
      <c r="G41" s="1" t="s">
        <v>91</v>
      </c>
      <c r="H41" s="1" t="s">
        <v>35</v>
      </c>
      <c r="I41" s="1" t="s">
        <v>36</v>
      </c>
      <c r="J41" s="1" t="s">
        <v>25</v>
      </c>
      <c r="K41" s="1" t="s">
        <v>26</v>
      </c>
      <c r="L41">
        <v>436</v>
      </c>
      <c r="M41">
        <v>12</v>
      </c>
      <c r="N41" s="1" t="s">
        <v>28</v>
      </c>
      <c r="O41" s="1" t="s">
        <v>28</v>
      </c>
      <c r="P41" s="1" t="s">
        <v>42</v>
      </c>
      <c r="Q41" s="1" t="s">
        <v>28</v>
      </c>
      <c r="R41">
        <v>2.2200000000000002</v>
      </c>
      <c r="S41" s="1" t="s">
        <v>39</v>
      </c>
    </row>
    <row r="42" spans="1:19" x14ac:dyDescent="0.25">
      <c r="A42">
        <v>33</v>
      </c>
      <c r="B42" s="1" t="s">
        <v>381</v>
      </c>
      <c r="C42" s="1" t="s">
        <v>382</v>
      </c>
      <c r="D42">
        <v>4.5</v>
      </c>
      <c r="E42">
        <v>0.4</v>
      </c>
      <c r="F42" s="1" t="s">
        <v>21</v>
      </c>
      <c r="G42" s="1" t="s">
        <v>215</v>
      </c>
      <c r="H42" s="1" t="s">
        <v>23</v>
      </c>
      <c r="I42" s="1" t="s">
        <v>24</v>
      </c>
      <c r="J42" s="1" t="s">
        <v>25</v>
      </c>
      <c r="K42" s="1" t="s">
        <v>29</v>
      </c>
      <c r="L42">
        <v>261</v>
      </c>
      <c r="M42">
        <v>10</v>
      </c>
      <c r="N42" s="1" t="s">
        <v>28</v>
      </c>
      <c r="O42" s="1" t="s">
        <v>28</v>
      </c>
      <c r="P42" s="1" t="s">
        <v>42</v>
      </c>
      <c r="Q42" s="1" t="s">
        <v>28</v>
      </c>
      <c r="R42">
        <v>2.2200000000000002</v>
      </c>
      <c r="S42" s="1" t="s">
        <v>31</v>
      </c>
    </row>
    <row r="43" spans="1:19" x14ac:dyDescent="0.25">
      <c r="A43">
        <v>459</v>
      </c>
      <c r="B43" s="1" t="s">
        <v>395</v>
      </c>
      <c r="C43" s="1" t="s">
        <v>396</v>
      </c>
      <c r="D43">
        <v>5.5</v>
      </c>
      <c r="E43">
        <v>0.1</v>
      </c>
      <c r="F43" s="1" t="s">
        <v>21</v>
      </c>
      <c r="G43" s="1" t="s">
        <v>80</v>
      </c>
      <c r="H43" s="1" t="s">
        <v>35</v>
      </c>
      <c r="I43" s="1" t="s">
        <v>36</v>
      </c>
      <c r="J43" s="1" t="s">
        <v>25</v>
      </c>
      <c r="K43" s="1" t="s">
        <v>26</v>
      </c>
      <c r="L43">
        <v>396</v>
      </c>
      <c r="M43">
        <v>12</v>
      </c>
      <c r="N43" s="1" t="s">
        <v>28</v>
      </c>
      <c r="O43" s="1" t="s">
        <v>28</v>
      </c>
      <c r="P43" s="1" t="s">
        <v>42</v>
      </c>
      <c r="Q43" s="1" t="s">
        <v>28</v>
      </c>
      <c r="R43">
        <v>2.1800000000000002</v>
      </c>
      <c r="S43" s="1" t="s">
        <v>39</v>
      </c>
    </row>
    <row r="44" spans="1:19" x14ac:dyDescent="0.25">
      <c r="A44">
        <v>486</v>
      </c>
      <c r="B44" s="1" t="s">
        <v>397</v>
      </c>
      <c r="C44" s="1" t="s">
        <v>398</v>
      </c>
      <c r="D44">
        <v>5.5</v>
      </c>
      <c r="E44">
        <v>0.1</v>
      </c>
      <c r="F44" s="1" t="s">
        <v>21</v>
      </c>
      <c r="G44" s="1" t="s">
        <v>170</v>
      </c>
      <c r="H44" s="1" t="s">
        <v>35</v>
      </c>
      <c r="I44" s="1" t="s">
        <v>36</v>
      </c>
      <c r="J44" s="1" t="s">
        <v>25</v>
      </c>
      <c r="K44" s="1" t="s">
        <v>26</v>
      </c>
      <c r="L44">
        <v>416</v>
      </c>
      <c r="M44">
        <v>12</v>
      </c>
      <c r="N44" s="1" t="s">
        <v>28</v>
      </c>
      <c r="O44" s="1" t="s">
        <v>28</v>
      </c>
      <c r="P44" s="1" t="s">
        <v>27</v>
      </c>
      <c r="Q44" s="1" t="s">
        <v>28</v>
      </c>
      <c r="R44">
        <v>2.1800000000000002</v>
      </c>
      <c r="S44" s="1" t="s">
        <v>39</v>
      </c>
    </row>
    <row r="45" spans="1:19" x14ac:dyDescent="0.25">
      <c r="A45">
        <v>60</v>
      </c>
      <c r="B45" s="1" t="s">
        <v>399</v>
      </c>
      <c r="C45" s="1" t="s">
        <v>400</v>
      </c>
      <c r="D45">
        <v>5.5</v>
      </c>
      <c r="E45">
        <v>0.8</v>
      </c>
      <c r="F45" s="1" t="s">
        <v>21</v>
      </c>
      <c r="G45" s="1" t="s">
        <v>96</v>
      </c>
      <c r="H45" s="1" t="s">
        <v>23</v>
      </c>
      <c r="I45" s="1" t="s">
        <v>24</v>
      </c>
      <c r="J45" s="1" t="s">
        <v>25</v>
      </c>
      <c r="K45" s="1" t="s">
        <v>26</v>
      </c>
      <c r="L45">
        <v>450</v>
      </c>
      <c r="M45">
        <v>12</v>
      </c>
      <c r="N45" s="1" t="s">
        <v>28</v>
      </c>
      <c r="O45" s="1" t="s">
        <v>28</v>
      </c>
      <c r="P45" s="1" t="s">
        <v>28</v>
      </c>
      <c r="Q45" s="1" t="s">
        <v>28</v>
      </c>
      <c r="R45">
        <v>2.1800000000000002</v>
      </c>
      <c r="S45" s="1" t="s">
        <v>39</v>
      </c>
    </row>
    <row r="46" spans="1:19" x14ac:dyDescent="0.25">
      <c r="A46">
        <v>203</v>
      </c>
      <c r="B46" s="1" t="s">
        <v>407</v>
      </c>
      <c r="C46" s="1" t="s">
        <v>408</v>
      </c>
      <c r="D46">
        <v>4.8</v>
      </c>
      <c r="E46">
        <v>0.2</v>
      </c>
      <c r="F46" s="1" t="s">
        <v>21</v>
      </c>
      <c r="G46" s="1" t="s">
        <v>91</v>
      </c>
      <c r="H46" s="1" t="s">
        <v>23</v>
      </c>
      <c r="I46" s="1" t="s">
        <v>24</v>
      </c>
      <c r="J46" s="1" t="s">
        <v>25</v>
      </c>
      <c r="K46" s="1" t="s">
        <v>29</v>
      </c>
      <c r="L46">
        <v>360</v>
      </c>
      <c r="M46">
        <v>10</v>
      </c>
      <c r="N46" s="1" t="s">
        <v>28</v>
      </c>
      <c r="O46" s="1" t="s">
        <v>28</v>
      </c>
      <c r="P46" s="1" t="s">
        <v>42</v>
      </c>
      <c r="Q46" s="1" t="s">
        <v>28</v>
      </c>
      <c r="R46">
        <v>2.08</v>
      </c>
      <c r="S46" s="1" t="s">
        <v>31</v>
      </c>
    </row>
    <row r="47" spans="1:19" x14ac:dyDescent="0.25">
      <c r="A47">
        <v>545</v>
      </c>
      <c r="B47" s="1" t="s">
        <v>415</v>
      </c>
      <c r="C47" s="1" t="s">
        <v>416</v>
      </c>
      <c r="D47">
        <v>4.9000000000000004</v>
      </c>
      <c r="E47">
        <v>0.2</v>
      </c>
      <c r="F47" s="1" t="s">
        <v>21</v>
      </c>
      <c r="G47" s="1" t="s">
        <v>165</v>
      </c>
      <c r="H47" s="1" t="s">
        <v>35</v>
      </c>
      <c r="I47" s="1" t="s">
        <v>36</v>
      </c>
      <c r="J47" s="1" t="s">
        <v>25</v>
      </c>
      <c r="K47" s="1" t="s">
        <v>26</v>
      </c>
      <c r="L47">
        <v>410</v>
      </c>
      <c r="M47">
        <v>10</v>
      </c>
      <c r="N47" s="1" t="s">
        <v>28</v>
      </c>
      <c r="O47" s="1" t="s">
        <v>28</v>
      </c>
      <c r="P47" s="1" t="s">
        <v>42</v>
      </c>
      <c r="Q47" s="1" t="s">
        <v>28</v>
      </c>
      <c r="R47">
        <v>2.04</v>
      </c>
      <c r="S47" s="1" t="s">
        <v>31</v>
      </c>
    </row>
    <row r="48" spans="1:19" x14ac:dyDescent="0.25">
      <c r="A48">
        <v>372</v>
      </c>
      <c r="B48" s="1" t="s">
        <v>413</v>
      </c>
      <c r="C48" s="1" t="s">
        <v>414</v>
      </c>
      <c r="D48">
        <v>5.4</v>
      </c>
      <c r="E48">
        <v>1.3</v>
      </c>
      <c r="F48" s="1" t="s">
        <v>21</v>
      </c>
      <c r="G48" s="1" t="s">
        <v>117</v>
      </c>
      <c r="H48" s="1" t="s">
        <v>35</v>
      </c>
      <c r="I48" s="1" t="s">
        <v>36</v>
      </c>
      <c r="J48" s="1" t="s">
        <v>25</v>
      </c>
      <c r="K48" s="1" t="s">
        <v>26</v>
      </c>
      <c r="L48">
        <v>306</v>
      </c>
      <c r="M48">
        <v>11</v>
      </c>
      <c r="N48" s="1" t="s">
        <v>28</v>
      </c>
      <c r="O48" s="1" t="s">
        <v>28</v>
      </c>
      <c r="P48" s="1" t="s">
        <v>27</v>
      </c>
      <c r="Q48" s="1" t="s">
        <v>28</v>
      </c>
      <c r="R48">
        <v>2.04</v>
      </c>
      <c r="S48" s="1" t="s">
        <v>39</v>
      </c>
    </row>
    <row r="49" spans="1:19" x14ac:dyDescent="0.25">
      <c r="A49">
        <v>46</v>
      </c>
      <c r="B49" s="1" t="s">
        <v>419</v>
      </c>
      <c r="C49" s="1" t="s">
        <v>420</v>
      </c>
      <c r="D49">
        <v>5</v>
      </c>
      <c r="E49">
        <v>0.3</v>
      </c>
      <c r="F49" s="1" t="s">
        <v>21</v>
      </c>
      <c r="G49" s="1" t="s">
        <v>215</v>
      </c>
      <c r="H49" s="1" t="s">
        <v>35</v>
      </c>
      <c r="I49" s="1" t="s">
        <v>36</v>
      </c>
      <c r="J49" s="1" t="s">
        <v>25</v>
      </c>
      <c r="K49" s="1" t="s">
        <v>26</v>
      </c>
      <c r="L49">
        <v>308</v>
      </c>
      <c r="M49">
        <v>10</v>
      </c>
      <c r="N49" s="1" t="s">
        <v>28</v>
      </c>
      <c r="O49" s="1" t="s">
        <v>28</v>
      </c>
      <c r="P49" s="1" t="s">
        <v>42</v>
      </c>
      <c r="Q49" s="1" t="s">
        <v>28</v>
      </c>
      <c r="R49">
        <v>2</v>
      </c>
      <c r="S49" s="1" t="s">
        <v>39</v>
      </c>
    </row>
    <row r="50" spans="1:19" x14ac:dyDescent="0.25">
      <c r="A50">
        <v>57</v>
      </c>
      <c r="B50" s="1" t="s">
        <v>417</v>
      </c>
      <c r="C50" s="1" t="s">
        <v>418</v>
      </c>
      <c r="D50">
        <v>4.5</v>
      </c>
      <c r="E50">
        <v>3</v>
      </c>
      <c r="F50" s="1" t="s">
        <v>21</v>
      </c>
      <c r="G50" s="1" t="s">
        <v>96</v>
      </c>
      <c r="H50" s="1" t="s">
        <v>46</v>
      </c>
      <c r="I50" s="1" t="s">
        <v>47</v>
      </c>
      <c r="J50" s="1" t="s">
        <v>25</v>
      </c>
      <c r="K50" s="1" t="s">
        <v>26</v>
      </c>
      <c r="L50">
        <v>450</v>
      </c>
      <c r="M50">
        <v>9</v>
      </c>
      <c r="N50" s="1" t="s">
        <v>28</v>
      </c>
      <c r="O50" s="1" t="s">
        <v>28</v>
      </c>
      <c r="P50" s="1" t="s">
        <v>28</v>
      </c>
      <c r="Q50" s="1" t="s">
        <v>28</v>
      </c>
      <c r="R50">
        <v>2</v>
      </c>
      <c r="S50" s="1" t="s">
        <v>31</v>
      </c>
    </row>
    <row r="51" spans="1:19" x14ac:dyDescent="0.25">
      <c r="A51">
        <v>51</v>
      </c>
      <c r="B51" s="1" t="s">
        <v>421</v>
      </c>
      <c r="C51" s="1" t="s">
        <v>421</v>
      </c>
      <c r="D51">
        <v>4.5</v>
      </c>
      <c r="E51">
        <v>1.2</v>
      </c>
      <c r="F51" s="1" t="s">
        <v>21</v>
      </c>
      <c r="G51" s="1" t="s">
        <v>215</v>
      </c>
      <c r="H51" s="1" t="s">
        <v>35</v>
      </c>
      <c r="I51" s="1" t="s">
        <v>36</v>
      </c>
      <c r="J51" s="1" t="s">
        <v>25</v>
      </c>
      <c r="K51" s="1" t="s">
        <v>26</v>
      </c>
      <c r="L51">
        <v>297</v>
      </c>
      <c r="M51">
        <v>9</v>
      </c>
      <c r="N51" s="1" t="s">
        <v>28</v>
      </c>
      <c r="O51" s="1" t="s">
        <v>28</v>
      </c>
      <c r="P51" s="1" t="s">
        <v>42</v>
      </c>
      <c r="Q51" s="1" t="s">
        <v>28</v>
      </c>
      <c r="R51">
        <v>2</v>
      </c>
      <c r="S51" s="1" t="s">
        <v>31</v>
      </c>
    </row>
    <row r="52" spans="1:19" x14ac:dyDescent="0.25">
      <c r="A52">
        <v>575</v>
      </c>
      <c r="B52" s="1" t="s">
        <v>426</v>
      </c>
      <c r="C52" s="1" t="s">
        <v>427</v>
      </c>
      <c r="D52">
        <v>4.8</v>
      </c>
      <c r="E52">
        <v>0.1</v>
      </c>
      <c r="F52" s="1" t="s">
        <v>21</v>
      </c>
      <c r="G52" s="1" t="s">
        <v>75</v>
      </c>
      <c r="H52" s="1" t="s">
        <v>35</v>
      </c>
      <c r="I52" s="1" t="s">
        <v>36</v>
      </c>
      <c r="J52" s="1" t="s">
        <v>25</v>
      </c>
      <c r="K52" s="1" t="s">
        <v>26</v>
      </c>
      <c r="L52">
        <v>265</v>
      </c>
      <c r="M52">
        <v>9</v>
      </c>
      <c r="N52" s="1" t="s">
        <v>28</v>
      </c>
      <c r="O52" s="1" t="s">
        <v>28</v>
      </c>
      <c r="P52" s="1" t="s">
        <v>27</v>
      </c>
      <c r="Q52" s="1" t="s">
        <v>28</v>
      </c>
      <c r="R52">
        <v>1.88</v>
      </c>
      <c r="S52" s="1" t="s">
        <v>31</v>
      </c>
    </row>
    <row r="53" spans="1:19" x14ac:dyDescent="0.25">
      <c r="A53">
        <v>522</v>
      </c>
      <c r="B53" s="1" t="s">
        <v>434</v>
      </c>
      <c r="C53" s="1" t="s">
        <v>435</v>
      </c>
      <c r="D53">
        <v>4.9000000000000004</v>
      </c>
      <c r="E53">
        <v>0.2</v>
      </c>
      <c r="F53" s="1" t="s">
        <v>21</v>
      </c>
      <c r="G53" s="1" t="s">
        <v>122</v>
      </c>
      <c r="H53" s="1" t="s">
        <v>35</v>
      </c>
      <c r="I53" s="1" t="s">
        <v>36</v>
      </c>
      <c r="J53" s="1" t="s">
        <v>25</v>
      </c>
      <c r="K53" s="1" t="s">
        <v>29</v>
      </c>
      <c r="L53">
        <v>307</v>
      </c>
      <c r="M53">
        <v>9</v>
      </c>
      <c r="N53" s="1" t="s">
        <v>28</v>
      </c>
      <c r="O53" s="1" t="s">
        <v>28</v>
      </c>
      <c r="P53" s="1" t="s">
        <v>42</v>
      </c>
      <c r="Q53" s="1" t="s">
        <v>28</v>
      </c>
      <c r="R53">
        <v>1.84</v>
      </c>
      <c r="S53" s="1" t="s">
        <v>31</v>
      </c>
    </row>
    <row r="54" spans="1:19" x14ac:dyDescent="0.25">
      <c r="A54">
        <v>104</v>
      </c>
      <c r="B54" s="1" t="s">
        <v>436</v>
      </c>
      <c r="C54" s="1" t="s">
        <v>437</v>
      </c>
      <c r="D54">
        <v>4.9000000000000004</v>
      </c>
      <c r="E54">
        <v>0.1</v>
      </c>
      <c r="F54" s="1" t="s">
        <v>21</v>
      </c>
      <c r="G54" s="1" t="s">
        <v>75</v>
      </c>
      <c r="H54" s="1" t="s">
        <v>35</v>
      </c>
      <c r="I54" s="1" t="s">
        <v>36</v>
      </c>
      <c r="J54" s="1" t="s">
        <v>25</v>
      </c>
      <c r="K54" s="1" t="s">
        <v>29</v>
      </c>
      <c r="L54">
        <v>314</v>
      </c>
      <c r="M54">
        <v>9</v>
      </c>
      <c r="N54" s="1" t="s">
        <v>28</v>
      </c>
      <c r="O54" s="1" t="s">
        <v>28</v>
      </c>
      <c r="P54" s="1" t="s">
        <v>42</v>
      </c>
      <c r="Q54" s="1" t="s">
        <v>28</v>
      </c>
      <c r="R54">
        <v>1.84</v>
      </c>
      <c r="S54" s="1" t="s">
        <v>31</v>
      </c>
    </row>
    <row r="55" spans="1:19" x14ac:dyDescent="0.25">
      <c r="A55">
        <v>239</v>
      </c>
      <c r="B55" s="1" t="s">
        <v>438</v>
      </c>
      <c r="C55" s="1" t="s">
        <v>439</v>
      </c>
      <c r="D55">
        <v>6</v>
      </c>
      <c r="E55">
        <v>0.2</v>
      </c>
      <c r="F55" s="1" t="s">
        <v>21</v>
      </c>
      <c r="G55" s="1" t="s">
        <v>50</v>
      </c>
      <c r="H55" s="1" t="s">
        <v>35</v>
      </c>
      <c r="I55" s="1" t="s">
        <v>36</v>
      </c>
      <c r="J55" s="1" t="s">
        <v>25</v>
      </c>
      <c r="K55" s="1" t="s">
        <v>26</v>
      </c>
      <c r="L55">
        <v>328</v>
      </c>
      <c r="M55">
        <v>11</v>
      </c>
      <c r="N55" s="1" t="s">
        <v>28</v>
      </c>
      <c r="O55" s="1" t="s">
        <v>28</v>
      </c>
      <c r="P55" s="1" t="s">
        <v>27</v>
      </c>
      <c r="Q55" s="1" t="s">
        <v>28</v>
      </c>
      <c r="R55">
        <v>1.83</v>
      </c>
      <c r="S55" s="1" t="s">
        <v>39</v>
      </c>
    </row>
    <row r="56" spans="1:19" x14ac:dyDescent="0.25">
      <c r="A56">
        <v>473</v>
      </c>
      <c r="B56" s="1" t="s">
        <v>440</v>
      </c>
      <c r="C56" s="1" t="s">
        <v>441</v>
      </c>
      <c r="D56">
        <v>4.4000000000000004</v>
      </c>
      <c r="E56">
        <v>2.4</v>
      </c>
      <c r="F56" s="1" t="s">
        <v>21</v>
      </c>
      <c r="G56" s="1" t="s">
        <v>170</v>
      </c>
      <c r="H56" s="1" t="s">
        <v>23</v>
      </c>
      <c r="I56" s="1" t="s">
        <v>24</v>
      </c>
      <c r="J56" s="1" t="s">
        <v>25</v>
      </c>
      <c r="K56" s="1" t="s">
        <v>29</v>
      </c>
      <c r="L56">
        <v>306</v>
      </c>
      <c r="M56">
        <v>8</v>
      </c>
      <c r="N56" s="1" t="s">
        <v>28</v>
      </c>
      <c r="O56" s="1" t="s">
        <v>28</v>
      </c>
      <c r="P56" s="1" t="s">
        <v>42</v>
      </c>
      <c r="Q56" s="1" t="s">
        <v>28</v>
      </c>
      <c r="R56">
        <v>1.82</v>
      </c>
      <c r="S56" s="1" t="s">
        <v>31</v>
      </c>
    </row>
    <row r="57" spans="1:19" x14ac:dyDescent="0.25">
      <c r="A57">
        <v>194</v>
      </c>
      <c r="B57" s="1" t="s">
        <v>442</v>
      </c>
      <c r="C57" s="1" t="s">
        <v>443</v>
      </c>
      <c r="D57">
        <v>5</v>
      </c>
      <c r="E57">
        <v>0.8</v>
      </c>
      <c r="F57" s="1" t="s">
        <v>21</v>
      </c>
      <c r="G57" s="1" t="s">
        <v>75</v>
      </c>
      <c r="H57" s="1" t="s">
        <v>107</v>
      </c>
      <c r="I57" s="1" t="s">
        <v>108</v>
      </c>
      <c r="J57" s="1" t="s">
        <v>25</v>
      </c>
      <c r="K57" s="1" t="s">
        <v>26</v>
      </c>
      <c r="L57">
        <v>227</v>
      </c>
      <c r="M57">
        <v>9</v>
      </c>
      <c r="N57" s="1" t="s">
        <v>28</v>
      </c>
      <c r="O57" s="1" t="s">
        <v>28</v>
      </c>
      <c r="P57" s="1" t="s">
        <v>42</v>
      </c>
      <c r="Q57" s="1" t="s">
        <v>28</v>
      </c>
      <c r="R57">
        <v>1.8</v>
      </c>
      <c r="S57" s="1" t="s">
        <v>39</v>
      </c>
    </row>
    <row r="58" spans="1:19" x14ac:dyDescent="0.25">
      <c r="A58">
        <v>28</v>
      </c>
      <c r="B58" s="1" t="s">
        <v>446</v>
      </c>
      <c r="C58" s="1" t="s">
        <v>447</v>
      </c>
      <c r="D58">
        <v>5</v>
      </c>
      <c r="E58">
        <v>4.8</v>
      </c>
      <c r="F58" s="1" t="s">
        <v>21</v>
      </c>
      <c r="G58" s="1" t="s">
        <v>158</v>
      </c>
      <c r="H58" s="1" t="s">
        <v>46</v>
      </c>
      <c r="I58" s="1" t="s">
        <v>47</v>
      </c>
      <c r="J58" s="1" t="s">
        <v>25</v>
      </c>
      <c r="K58" s="1" t="s">
        <v>29</v>
      </c>
      <c r="L58">
        <v>360</v>
      </c>
      <c r="M58">
        <v>9</v>
      </c>
      <c r="N58" s="1" t="s">
        <v>28</v>
      </c>
      <c r="O58" s="1" t="s">
        <v>28</v>
      </c>
      <c r="P58" s="1" t="s">
        <v>28</v>
      </c>
      <c r="Q58" s="1" t="s">
        <v>28</v>
      </c>
      <c r="R58">
        <v>1.8</v>
      </c>
      <c r="S58" s="1" t="s">
        <v>39</v>
      </c>
    </row>
    <row r="59" spans="1:19" x14ac:dyDescent="0.25">
      <c r="A59">
        <v>37</v>
      </c>
      <c r="B59" s="1" t="s">
        <v>450</v>
      </c>
      <c r="C59" s="1" t="s">
        <v>451</v>
      </c>
      <c r="D59">
        <v>4.5</v>
      </c>
      <c r="E59">
        <v>0.3</v>
      </c>
      <c r="F59" s="1" t="s">
        <v>21</v>
      </c>
      <c r="G59" s="1" t="s">
        <v>215</v>
      </c>
      <c r="H59" s="1" t="s">
        <v>23</v>
      </c>
      <c r="I59" s="1" t="s">
        <v>24</v>
      </c>
      <c r="J59" s="1" t="s">
        <v>25</v>
      </c>
      <c r="K59" s="1" t="s">
        <v>26</v>
      </c>
      <c r="L59">
        <v>450</v>
      </c>
      <c r="M59">
        <v>8</v>
      </c>
      <c r="N59" s="1" t="s">
        <v>28</v>
      </c>
      <c r="O59" s="1" t="s">
        <v>28</v>
      </c>
      <c r="P59" s="1" t="s">
        <v>42</v>
      </c>
      <c r="Q59" s="1" t="s">
        <v>28</v>
      </c>
      <c r="R59">
        <v>1.78</v>
      </c>
      <c r="S59" s="1" t="s">
        <v>31</v>
      </c>
    </row>
    <row r="60" spans="1:19" x14ac:dyDescent="0.25">
      <c r="A60">
        <v>199</v>
      </c>
      <c r="B60" s="1" t="s">
        <v>452</v>
      </c>
      <c r="C60" s="1" t="s">
        <v>453</v>
      </c>
      <c r="D60">
        <v>4.5</v>
      </c>
      <c r="E60">
        <v>0.1</v>
      </c>
      <c r="F60" s="1" t="s">
        <v>21</v>
      </c>
      <c r="G60" s="1" t="s">
        <v>91</v>
      </c>
      <c r="H60" s="1" t="s">
        <v>46</v>
      </c>
      <c r="I60" s="1" t="s">
        <v>47</v>
      </c>
      <c r="J60" s="1" t="s">
        <v>25</v>
      </c>
      <c r="K60" s="1" t="s">
        <v>27</v>
      </c>
      <c r="L60">
        <v>180</v>
      </c>
      <c r="M60">
        <v>8</v>
      </c>
      <c r="N60" s="1" t="s">
        <v>28</v>
      </c>
      <c r="O60" s="1" t="s">
        <v>28</v>
      </c>
      <c r="P60" s="1" t="s">
        <v>42</v>
      </c>
      <c r="Q60" s="1" t="s">
        <v>28</v>
      </c>
      <c r="R60">
        <v>1.78</v>
      </c>
      <c r="S60" s="1" t="s">
        <v>31</v>
      </c>
    </row>
    <row r="61" spans="1:19" x14ac:dyDescent="0.25">
      <c r="A61">
        <v>393</v>
      </c>
      <c r="B61" s="1" t="s">
        <v>458</v>
      </c>
      <c r="C61" s="1" t="s">
        <v>459</v>
      </c>
      <c r="D61">
        <v>5.4</v>
      </c>
      <c r="E61">
        <v>1.4</v>
      </c>
      <c r="F61" s="1" t="s">
        <v>21</v>
      </c>
      <c r="G61" s="1" t="s">
        <v>54</v>
      </c>
      <c r="H61" s="1" t="s">
        <v>23</v>
      </c>
      <c r="I61" s="1" t="s">
        <v>24</v>
      </c>
      <c r="J61" s="1" t="s">
        <v>25</v>
      </c>
      <c r="K61" s="1" t="s">
        <v>37</v>
      </c>
      <c r="L61">
        <v>268</v>
      </c>
      <c r="M61">
        <v>9</v>
      </c>
      <c r="N61" s="1" t="s">
        <v>28</v>
      </c>
      <c r="O61" s="1" t="s">
        <v>28</v>
      </c>
      <c r="P61" s="1" t="s">
        <v>42</v>
      </c>
      <c r="Q61" s="1" t="s">
        <v>28</v>
      </c>
      <c r="R61">
        <v>1.67</v>
      </c>
      <c r="S61" s="1" t="s">
        <v>39</v>
      </c>
    </row>
    <row r="62" spans="1:19" x14ac:dyDescent="0.25">
      <c r="A62">
        <v>7</v>
      </c>
      <c r="B62" s="1" t="s">
        <v>454</v>
      </c>
      <c r="C62" s="1" t="s">
        <v>455</v>
      </c>
      <c r="D62">
        <v>5.4</v>
      </c>
      <c r="E62">
        <v>0.6</v>
      </c>
      <c r="F62" s="1" t="s">
        <v>21</v>
      </c>
      <c r="G62" s="1" t="s">
        <v>104</v>
      </c>
      <c r="H62" s="1" t="s">
        <v>35</v>
      </c>
      <c r="I62" s="1" t="s">
        <v>36</v>
      </c>
      <c r="J62" s="1" t="s">
        <v>25</v>
      </c>
      <c r="K62" s="1" t="s">
        <v>29</v>
      </c>
      <c r="L62">
        <v>271</v>
      </c>
      <c r="M62">
        <v>9</v>
      </c>
      <c r="N62" s="1" t="s">
        <v>28</v>
      </c>
      <c r="O62" s="1" t="s">
        <v>28</v>
      </c>
      <c r="P62" s="1" t="s">
        <v>27</v>
      </c>
      <c r="Q62" s="1" t="s">
        <v>28</v>
      </c>
      <c r="R62">
        <v>1.67</v>
      </c>
      <c r="S62" s="1" t="s">
        <v>39</v>
      </c>
    </row>
    <row r="63" spans="1:19" x14ac:dyDescent="0.25">
      <c r="A63">
        <v>417</v>
      </c>
      <c r="B63" s="1" t="s">
        <v>462</v>
      </c>
      <c r="C63" s="1" t="s">
        <v>463</v>
      </c>
      <c r="D63">
        <v>4.9000000000000004</v>
      </c>
      <c r="E63">
        <v>1.6</v>
      </c>
      <c r="F63" s="1" t="s">
        <v>21</v>
      </c>
      <c r="G63" s="1" t="s">
        <v>177</v>
      </c>
      <c r="H63" s="1" t="s">
        <v>23</v>
      </c>
      <c r="I63" s="1" t="s">
        <v>24</v>
      </c>
      <c r="J63" s="1" t="s">
        <v>25</v>
      </c>
      <c r="K63" s="1" t="s">
        <v>26</v>
      </c>
      <c r="L63">
        <v>346</v>
      </c>
      <c r="M63">
        <v>8</v>
      </c>
      <c r="N63" s="1" t="s">
        <v>28</v>
      </c>
      <c r="O63" s="1" t="s">
        <v>28</v>
      </c>
      <c r="P63" s="1" t="s">
        <v>28</v>
      </c>
      <c r="Q63" s="1" t="s">
        <v>28</v>
      </c>
      <c r="R63">
        <v>1.63</v>
      </c>
      <c r="S63" s="1" t="s">
        <v>31</v>
      </c>
    </row>
    <row r="64" spans="1:19" x14ac:dyDescent="0.25">
      <c r="A64">
        <v>462</v>
      </c>
      <c r="B64" s="1" t="s">
        <v>460</v>
      </c>
      <c r="C64" s="1" t="s">
        <v>461</v>
      </c>
      <c r="D64">
        <v>4.9000000000000004</v>
      </c>
      <c r="E64">
        <v>0.1</v>
      </c>
      <c r="F64" s="1" t="s">
        <v>21</v>
      </c>
      <c r="G64" s="1" t="s">
        <v>80</v>
      </c>
      <c r="H64" s="1" t="s">
        <v>35</v>
      </c>
      <c r="I64" s="1" t="s">
        <v>36</v>
      </c>
      <c r="J64" s="1" t="s">
        <v>25</v>
      </c>
      <c r="K64" s="1" t="s">
        <v>26</v>
      </c>
      <c r="L64">
        <v>223</v>
      </c>
      <c r="M64">
        <v>8</v>
      </c>
      <c r="N64" s="1" t="s">
        <v>28</v>
      </c>
      <c r="O64" s="1" t="s">
        <v>28</v>
      </c>
      <c r="P64" s="1" t="s">
        <v>42</v>
      </c>
      <c r="Q64" s="1" t="s">
        <v>28</v>
      </c>
      <c r="R64">
        <v>1.63</v>
      </c>
      <c r="S64" s="1" t="s">
        <v>31</v>
      </c>
    </row>
    <row r="65" spans="1:19" x14ac:dyDescent="0.25">
      <c r="A65">
        <v>145</v>
      </c>
      <c r="B65" s="1" t="s">
        <v>466</v>
      </c>
      <c r="C65" s="1" t="s">
        <v>467</v>
      </c>
      <c r="D65">
        <v>5</v>
      </c>
      <c r="E65">
        <v>0.2</v>
      </c>
      <c r="F65" s="1" t="s">
        <v>21</v>
      </c>
      <c r="G65" s="1" t="s">
        <v>158</v>
      </c>
      <c r="H65" s="1" t="s">
        <v>23</v>
      </c>
      <c r="I65" s="1" t="s">
        <v>24</v>
      </c>
      <c r="J65" s="1" t="s">
        <v>25</v>
      </c>
      <c r="K65" s="1" t="s">
        <v>29</v>
      </c>
      <c r="L65">
        <v>312</v>
      </c>
      <c r="M65">
        <v>8</v>
      </c>
      <c r="N65" s="1" t="s">
        <v>28</v>
      </c>
      <c r="O65" s="1" t="s">
        <v>28</v>
      </c>
      <c r="P65" s="1" t="s">
        <v>28</v>
      </c>
      <c r="Q65" s="1" t="s">
        <v>28</v>
      </c>
      <c r="R65">
        <v>1.6</v>
      </c>
      <c r="S65" s="1" t="s">
        <v>39</v>
      </c>
    </row>
    <row r="66" spans="1:19" x14ac:dyDescent="0.25">
      <c r="A66">
        <v>71</v>
      </c>
      <c r="B66" s="1" t="s">
        <v>468</v>
      </c>
      <c r="C66" s="1" t="s">
        <v>469</v>
      </c>
      <c r="D66">
        <v>5</v>
      </c>
      <c r="E66">
        <v>0.2</v>
      </c>
      <c r="F66" s="1" t="s">
        <v>21</v>
      </c>
      <c r="G66" s="1" t="s">
        <v>96</v>
      </c>
      <c r="H66" s="1" t="s">
        <v>35</v>
      </c>
      <c r="I66" s="1" t="s">
        <v>36</v>
      </c>
      <c r="J66" s="1" t="s">
        <v>25</v>
      </c>
      <c r="K66" s="1" t="s">
        <v>26</v>
      </c>
      <c r="L66">
        <v>180</v>
      </c>
      <c r="M66">
        <v>8</v>
      </c>
      <c r="N66" s="1" t="s">
        <v>28</v>
      </c>
      <c r="O66" s="1" t="s">
        <v>28</v>
      </c>
      <c r="P66" s="1" t="s">
        <v>27</v>
      </c>
      <c r="Q66" s="1" t="s">
        <v>28</v>
      </c>
      <c r="R66">
        <v>1.6</v>
      </c>
      <c r="S66" s="1" t="s">
        <v>39</v>
      </c>
    </row>
    <row r="67" spans="1:19" x14ac:dyDescent="0.25">
      <c r="A67">
        <v>536</v>
      </c>
      <c r="B67" s="1" t="s">
        <v>472</v>
      </c>
      <c r="C67" s="1" t="s">
        <v>473</v>
      </c>
      <c r="D67">
        <v>4.4000000000000004</v>
      </c>
      <c r="E67">
        <v>0.3</v>
      </c>
      <c r="F67" s="1" t="s">
        <v>21</v>
      </c>
      <c r="G67" s="1" t="s">
        <v>165</v>
      </c>
      <c r="H67" s="1" t="s">
        <v>23</v>
      </c>
      <c r="I67" s="1" t="s">
        <v>24</v>
      </c>
      <c r="J67" s="1" t="s">
        <v>25</v>
      </c>
      <c r="K67" s="1" t="s">
        <v>29</v>
      </c>
      <c r="L67">
        <v>360</v>
      </c>
      <c r="M67">
        <v>7</v>
      </c>
      <c r="N67" s="1" t="s">
        <v>28</v>
      </c>
      <c r="O67" s="1" t="s">
        <v>28</v>
      </c>
      <c r="P67" s="1" t="s">
        <v>42</v>
      </c>
      <c r="Q67" s="1" t="s">
        <v>28</v>
      </c>
      <c r="R67">
        <v>1.59</v>
      </c>
      <c r="S67" s="1" t="s">
        <v>31</v>
      </c>
    </row>
    <row r="68" spans="1:19" x14ac:dyDescent="0.25">
      <c r="A68">
        <v>67</v>
      </c>
      <c r="B68" s="1" t="s">
        <v>470</v>
      </c>
      <c r="C68" s="1" t="s">
        <v>471</v>
      </c>
      <c r="D68">
        <v>6.3</v>
      </c>
      <c r="E68">
        <v>1.6</v>
      </c>
      <c r="F68" s="1" t="s">
        <v>21</v>
      </c>
      <c r="G68" s="1" t="s">
        <v>96</v>
      </c>
      <c r="H68" s="1" t="s">
        <v>35</v>
      </c>
      <c r="I68" s="1" t="s">
        <v>36</v>
      </c>
      <c r="J68" s="1" t="s">
        <v>25</v>
      </c>
      <c r="K68" s="1" t="s">
        <v>26</v>
      </c>
      <c r="L68">
        <v>434</v>
      </c>
      <c r="M68">
        <v>10</v>
      </c>
      <c r="N68" s="1" t="s">
        <v>28</v>
      </c>
      <c r="O68" s="1" t="s">
        <v>28</v>
      </c>
      <c r="P68" s="1" t="s">
        <v>28</v>
      </c>
      <c r="Q68" s="1" t="s">
        <v>28</v>
      </c>
      <c r="R68">
        <v>1.59</v>
      </c>
      <c r="S68" s="1" t="s">
        <v>39</v>
      </c>
    </row>
    <row r="69" spans="1:19" x14ac:dyDescent="0.25">
      <c r="A69">
        <v>564</v>
      </c>
      <c r="B69" s="1" t="s">
        <v>474</v>
      </c>
      <c r="C69" s="1" t="s">
        <v>475</v>
      </c>
      <c r="D69">
        <v>4.5</v>
      </c>
      <c r="E69">
        <v>0.6</v>
      </c>
      <c r="F69" s="1" t="s">
        <v>21</v>
      </c>
      <c r="G69" s="1" t="s">
        <v>66</v>
      </c>
      <c r="H69" s="1" t="s">
        <v>46</v>
      </c>
      <c r="I69" s="1" t="s">
        <v>47</v>
      </c>
      <c r="J69" s="1" t="s">
        <v>25</v>
      </c>
      <c r="K69" s="1" t="s">
        <v>29</v>
      </c>
      <c r="L69">
        <v>360</v>
      </c>
      <c r="M69">
        <v>7</v>
      </c>
      <c r="N69" s="1" t="s">
        <v>28</v>
      </c>
      <c r="O69" s="1" t="s">
        <v>28</v>
      </c>
      <c r="P69" s="1" t="s">
        <v>28</v>
      </c>
      <c r="Q69" s="1" t="s">
        <v>28</v>
      </c>
      <c r="R69">
        <v>1.56</v>
      </c>
      <c r="S69" s="1" t="s">
        <v>31</v>
      </c>
    </row>
    <row r="70" spans="1:19" x14ac:dyDescent="0.25">
      <c r="A70">
        <v>209</v>
      </c>
      <c r="B70" s="1" t="s">
        <v>480</v>
      </c>
      <c r="C70" s="1" t="s">
        <v>481</v>
      </c>
      <c r="D70">
        <v>5.9</v>
      </c>
      <c r="E70">
        <v>0.1</v>
      </c>
      <c r="F70" s="1" t="s">
        <v>21</v>
      </c>
      <c r="G70" s="1" t="s">
        <v>50</v>
      </c>
      <c r="H70" s="1" t="s">
        <v>35</v>
      </c>
      <c r="I70" s="1" t="s">
        <v>36</v>
      </c>
      <c r="J70" s="1" t="s">
        <v>25</v>
      </c>
      <c r="K70" s="1" t="s">
        <v>26</v>
      </c>
      <c r="L70">
        <v>238</v>
      </c>
      <c r="M70">
        <v>9</v>
      </c>
      <c r="N70" s="1" t="s">
        <v>28</v>
      </c>
      <c r="O70" s="1" t="s">
        <v>28</v>
      </c>
      <c r="P70" s="1" t="s">
        <v>27</v>
      </c>
      <c r="Q70" s="1" t="s">
        <v>28</v>
      </c>
      <c r="R70">
        <v>1.53</v>
      </c>
      <c r="S70" s="1" t="s">
        <v>39</v>
      </c>
    </row>
    <row r="71" spans="1:19" x14ac:dyDescent="0.25">
      <c r="A71">
        <v>562</v>
      </c>
      <c r="B71" s="1" t="s">
        <v>482</v>
      </c>
      <c r="C71" s="1" t="s">
        <v>483</v>
      </c>
      <c r="D71">
        <v>5.3</v>
      </c>
      <c r="E71">
        <v>0.2</v>
      </c>
      <c r="F71" s="1" t="s">
        <v>21</v>
      </c>
      <c r="G71" s="1" t="s">
        <v>66</v>
      </c>
      <c r="H71" s="1" t="s">
        <v>35</v>
      </c>
      <c r="I71" s="1" t="s">
        <v>36</v>
      </c>
      <c r="J71" s="1" t="s">
        <v>25</v>
      </c>
      <c r="K71" s="1" t="s">
        <v>26</v>
      </c>
      <c r="L71">
        <v>259</v>
      </c>
      <c r="M71">
        <v>8</v>
      </c>
      <c r="N71" s="1" t="s">
        <v>28</v>
      </c>
      <c r="O71" s="1" t="s">
        <v>28</v>
      </c>
      <c r="P71" s="1" t="s">
        <v>28</v>
      </c>
      <c r="Q71" s="1" t="s">
        <v>28</v>
      </c>
      <c r="R71">
        <v>1.51</v>
      </c>
      <c r="S71" s="1" t="s">
        <v>39</v>
      </c>
    </row>
    <row r="72" spans="1:19" x14ac:dyDescent="0.25">
      <c r="A72">
        <v>514</v>
      </c>
      <c r="B72" s="1" t="s">
        <v>491</v>
      </c>
      <c r="C72" s="1" t="s">
        <v>492</v>
      </c>
      <c r="D72">
        <v>5.7</v>
      </c>
      <c r="E72">
        <v>0.2</v>
      </c>
      <c r="F72" s="1" t="s">
        <v>21</v>
      </c>
      <c r="G72" s="1" t="s">
        <v>122</v>
      </c>
      <c r="H72" s="1" t="s">
        <v>35</v>
      </c>
      <c r="I72" s="1" t="s">
        <v>36</v>
      </c>
      <c r="J72" s="1" t="s">
        <v>25</v>
      </c>
      <c r="K72" s="1" t="s">
        <v>29</v>
      </c>
      <c r="L72">
        <v>257</v>
      </c>
      <c r="M72">
        <v>8</v>
      </c>
      <c r="N72" s="1" t="s">
        <v>28</v>
      </c>
      <c r="O72" s="1" t="s">
        <v>28</v>
      </c>
      <c r="P72" s="1" t="s">
        <v>42</v>
      </c>
      <c r="Q72" s="1" t="s">
        <v>28</v>
      </c>
      <c r="R72">
        <v>1.4</v>
      </c>
      <c r="S72" s="1" t="s">
        <v>39</v>
      </c>
    </row>
    <row r="73" spans="1:19" x14ac:dyDescent="0.25">
      <c r="A73">
        <v>576</v>
      </c>
      <c r="B73" s="1" t="s">
        <v>493</v>
      </c>
      <c r="C73" s="1" t="s">
        <v>494</v>
      </c>
      <c r="D73">
        <v>5</v>
      </c>
      <c r="E73">
        <v>0.1</v>
      </c>
      <c r="F73" s="1" t="s">
        <v>21</v>
      </c>
      <c r="G73" s="1" t="s">
        <v>45</v>
      </c>
      <c r="H73" s="1" t="s">
        <v>35</v>
      </c>
      <c r="I73" s="1" t="s">
        <v>36</v>
      </c>
      <c r="J73" s="1" t="s">
        <v>25</v>
      </c>
      <c r="K73" s="1" t="s">
        <v>29</v>
      </c>
      <c r="L73">
        <v>249</v>
      </c>
      <c r="M73">
        <v>7</v>
      </c>
      <c r="N73" s="1" t="s">
        <v>28</v>
      </c>
      <c r="O73" s="1" t="s">
        <v>28</v>
      </c>
      <c r="P73" s="1" t="s">
        <v>27</v>
      </c>
      <c r="Q73" s="1" t="s">
        <v>28</v>
      </c>
      <c r="R73">
        <v>1.4</v>
      </c>
      <c r="S73" s="1" t="s">
        <v>39</v>
      </c>
    </row>
    <row r="74" spans="1:19" x14ac:dyDescent="0.25">
      <c r="A74">
        <v>32</v>
      </c>
      <c r="B74" s="1" t="s">
        <v>495</v>
      </c>
      <c r="C74" s="1" t="s">
        <v>496</v>
      </c>
      <c r="D74">
        <v>4.4000000000000004</v>
      </c>
      <c r="E74">
        <v>4.8</v>
      </c>
      <c r="F74" s="1" t="s">
        <v>21</v>
      </c>
      <c r="G74" s="1" t="s">
        <v>215</v>
      </c>
      <c r="H74" s="1" t="s">
        <v>23</v>
      </c>
      <c r="I74" s="1" t="s">
        <v>24</v>
      </c>
      <c r="J74" s="1" t="s">
        <v>25</v>
      </c>
      <c r="K74" s="1" t="s">
        <v>29</v>
      </c>
      <c r="L74">
        <v>296</v>
      </c>
      <c r="M74">
        <v>6</v>
      </c>
      <c r="N74" s="1" t="s">
        <v>28</v>
      </c>
      <c r="O74" s="1" t="s">
        <v>28</v>
      </c>
      <c r="P74" s="1" t="s">
        <v>42</v>
      </c>
      <c r="Q74" s="1" t="s">
        <v>28</v>
      </c>
      <c r="R74">
        <v>1.36</v>
      </c>
      <c r="S74" s="1" t="s">
        <v>31</v>
      </c>
    </row>
    <row r="75" spans="1:19" x14ac:dyDescent="0.25">
      <c r="A75">
        <v>337</v>
      </c>
      <c r="B75" s="1" t="s">
        <v>497</v>
      </c>
      <c r="C75" s="1" t="s">
        <v>498</v>
      </c>
      <c r="D75">
        <v>5.3</v>
      </c>
      <c r="E75">
        <v>0.5</v>
      </c>
      <c r="F75" s="1" t="s">
        <v>21</v>
      </c>
      <c r="G75" s="1" t="s">
        <v>22</v>
      </c>
      <c r="H75" s="1" t="s">
        <v>35</v>
      </c>
      <c r="I75" s="1" t="s">
        <v>36</v>
      </c>
      <c r="J75" s="1" t="s">
        <v>25</v>
      </c>
      <c r="K75" s="1" t="s">
        <v>26</v>
      </c>
      <c r="L75">
        <v>194</v>
      </c>
      <c r="M75">
        <v>7</v>
      </c>
      <c r="N75" s="1" t="s">
        <v>28</v>
      </c>
      <c r="O75" s="1" t="s">
        <v>28</v>
      </c>
      <c r="P75" s="1" t="s">
        <v>42</v>
      </c>
      <c r="Q75" s="1" t="s">
        <v>28</v>
      </c>
      <c r="R75">
        <v>1.32</v>
      </c>
      <c r="S75" s="1" t="s">
        <v>39</v>
      </c>
    </row>
    <row r="76" spans="1:19" x14ac:dyDescent="0.25">
      <c r="A76">
        <v>585</v>
      </c>
      <c r="B76" s="1" t="s">
        <v>503</v>
      </c>
      <c r="C76" s="1" t="s">
        <v>504</v>
      </c>
      <c r="D76">
        <v>4</v>
      </c>
      <c r="E76">
        <v>0.6</v>
      </c>
      <c r="F76" s="1" t="s">
        <v>21</v>
      </c>
      <c r="G76" s="1" t="s">
        <v>45</v>
      </c>
      <c r="H76" s="1" t="s">
        <v>23</v>
      </c>
      <c r="I76" s="1" t="s">
        <v>24</v>
      </c>
      <c r="J76" s="1" t="s">
        <v>25</v>
      </c>
      <c r="K76" s="1" t="s">
        <v>26</v>
      </c>
      <c r="L76">
        <v>197</v>
      </c>
      <c r="M76">
        <v>5</v>
      </c>
      <c r="N76" s="1" t="s">
        <v>28</v>
      </c>
      <c r="O76" s="1" t="s">
        <v>28</v>
      </c>
      <c r="P76" s="1" t="s">
        <v>28</v>
      </c>
      <c r="Q76" s="1" t="s">
        <v>28</v>
      </c>
      <c r="R76">
        <v>1.25</v>
      </c>
      <c r="S76" s="1" t="s">
        <v>31</v>
      </c>
    </row>
    <row r="77" spans="1:19" x14ac:dyDescent="0.25">
      <c r="A77">
        <v>525</v>
      </c>
      <c r="B77" s="1" t="s">
        <v>507</v>
      </c>
      <c r="C77" s="1" t="s">
        <v>508</v>
      </c>
      <c r="D77">
        <v>5.7</v>
      </c>
      <c r="E77">
        <v>0.8</v>
      </c>
      <c r="F77" s="1" t="s">
        <v>21</v>
      </c>
      <c r="G77" s="1" t="s">
        <v>122</v>
      </c>
      <c r="H77" s="1" t="s">
        <v>35</v>
      </c>
      <c r="I77" s="1" t="s">
        <v>36</v>
      </c>
      <c r="J77" s="1" t="s">
        <v>25</v>
      </c>
      <c r="K77" s="1" t="s">
        <v>26</v>
      </c>
      <c r="L77">
        <v>249</v>
      </c>
      <c r="M77">
        <v>7</v>
      </c>
      <c r="N77" s="1" t="s">
        <v>28</v>
      </c>
      <c r="O77" s="1" t="s">
        <v>28</v>
      </c>
      <c r="P77" s="1" t="s">
        <v>42</v>
      </c>
      <c r="Q77" s="1" t="s">
        <v>28</v>
      </c>
      <c r="R77">
        <v>1.23</v>
      </c>
      <c r="S77" s="1" t="s">
        <v>39</v>
      </c>
    </row>
    <row r="78" spans="1:19" x14ac:dyDescent="0.25">
      <c r="A78">
        <v>403</v>
      </c>
      <c r="B78" s="1" t="s">
        <v>505</v>
      </c>
      <c r="C78" s="1" t="s">
        <v>506</v>
      </c>
      <c r="D78">
        <v>6.5</v>
      </c>
      <c r="E78">
        <v>0.7</v>
      </c>
      <c r="F78" s="1" t="s">
        <v>21</v>
      </c>
      <c r="G78" s="1" t="s">
        <v>122</v>
      </c>
      <c r="H78" s="1" t="s">
        <v>35</v>
      </c>
      <c r="I78" s="1" t="s">
        <v>36</v>
      </c>
      <c r="J78" s="1" t="s">
        <v>25</v>
      </c>
      <c r="K78" s="1" t="s">
        <v>37</v>
      </c>
      <c r="L78">
        <v>240</v>
      </c>
      <c r="M78">
        <v>8</v>
      </c>
      <c r="N78" s="1" t="s">
        <v>28</v>
      </c>
      <c r="O78" s="1" t="s">
        <v>28</v>
      </c>
      <c r="P78" s="1" t="s">
        <v>27</v>
      </c>
      <c r="Q78" s="1" t="s">
        <v>28</v>
      </c>
      <c r="R78">
        <v>1.23</v>
      </c>
      <c r="S78" s="1" t="s">
        <v>39</v>
      </c>
    </row>
    <row r="79" spans="1:19" x14ac:dyDescent="0.25">
      <c r="A79">
        <v>419</v>
      </c>
      <c r="B79" s="1" t="s">
        <v>446</v>
      </c>
      <c r="C79" s="1" t="s">
        <v>511</v>
      </c>
      <c r="D79">
        <v>5</v>
      </c>
      <c r="E79">
        <v>1.3</v>
      </c>
      <c r="F79" s="1" t="s">
        <v>21</v>
      </c>
      <c r="G79" s="1" t="s">
        <v>177</v>
      </c>
      <c r="H79" s="1" t="s">
        <v>23</v>
      </c>
      <c r="I79" s="1" t="s">
        <v>24</v>
      </c>
      <c r="J79" s="1" t="s">
        <v>25</v>
      </c>
      <c r="K79" s="1" t="s">
        <v>29</v>
      </c>
      <c r="L79">
        <v>360</v>
      </c>
      <c r="M79">
        <v>6</v>
      </c>
      <c r="N79" s="1" t="s">
        <v>28</v>
      </c>
      <c r="O79" s="1" t="s">
        <v>28</v>
      </c>
      <c r="P79" s="1" t="s">
        <v>28</v>
      </c>
      <c r="Q79" s="1" t="s">
        <v>28</v>
      </c>
      <c r="R79">
        <v>1.2</v>
      </c>
      <c r="S79" s="1" t="s">
        <v>39</v>
      </c>
    </row>
    <row r="80" spans="1:19" x14ac:dyDescent="0.25">
      <c r="A80">
        <v>401</v>
      </c>
      <c r="B80" s="1" t="s">
        <v>512</v>
      </c>
      <c r="C80" s="1" t="s">
        <v>513</v>
      </c>
      <c r="D80">
        <v>7</v>
      </c>
      <c r="E80">
        <v>2.1</v>
      </c>
      <c r="F80" s="1" t="s">
        <v>21</v>
      </c>
      <c r="G80" s="1" t="s">
        <v>122</v>
      </c>
      <c r="H80" s="1" t="s">
        <v>107</v>
      </c>
      <c r="I80" s="1" t="s">
        <v>108</v>
      </c>
      <c r="J80" s="1" t="s">
        <v>25</v>
      </c>
      <c r="K80" s="1" t="s">
        <v>29</v>
      </c>
      <c r="L80">
        <v>339</v>
      </c>
      <c r="M80">
        <v>8</v>
      </c>
      <c r="N80" s="1" t="s">
        <v>28</v>
      </c>
      <c r="O80" s="1" t="s">
        <v>28</v>
      </c>
      <c r="P80" s="1" t="s">
        <v>27</v>
      </c>
      <c r="Q80" s="1" t="s">
        <v>28</v>
      </c>
      <c r="R80">
        <v>1.1399999999999999</v>
      </c>
      <c r="S80" s="1" t="s">
        <v>146</v>
      </c>
    </row>
    <row r="81" spans="1:19" x14ac:dyDescent="0.25">
      <c r="A81">
        <v>151</v>
      </c>
      <c r="B81" s="1" t="s">
        <v>514</v>
      </c>
      <c r="C81" s="1" t="s">
        <v>515</v>
      </c>
      <c r="D81">
        <v>4.5</v>
      </c>
      <c r="E81">
        <v>0.3</v>
      </c>
      <c r="F81" s="1" t="s">
        <v>21</v>
      </c>
      <c r="G81" s="1" t="s">
        <v>158</v>
      </c>
      <c r="H81" s="1" t="s">
        <v>23</v>
      </c>
      <c r="I81" s="1" t="s">
        <v>24</v>
      </c>
      <c r="J81" s="1" t="s">
        <v>25</v>
      </c>
      <c r="K81" s="1" t="s">
        <v>29</v>
      </c>
      <c r="L81">
        <v>221</v>
      </c>
      <c r="M81">
        <v>5</v>
      </c>
      <c r="N81" s="1" t="s">
        <v>28</v>
      </c>
      <c r="O81" s="1" t="s">
        <v>28</v>
      </c>
      <c r="P81" s="1" t="s">
        <v>28</v>
      </c>
      <c r="Q81" s="1" t="s">
        <v>28</v>
      </c>
      <c r="R81">
        <v>1.1100000000000001</v>
      </c>
      <c r="S81" s="1" t="s">
        <v>31</v>
      </c>
    </row>
    <row r="82" spans="1:19" x14ac:dyDescent="0.25">
      <c r="A82">
        <v>583</v>
      </c>
      <c r="B82" s="1" t="s">
        <v>516</v>
      </c>
      <c r="C82" s="1" t="s">
        <v>517</v>
      </c>
      <c r="D82">
        <v>4.9000000000000004</v>
      </c>
      <c r="E82">
        <v>0.1</v>
      </c>
      <c r="F82" s="1" t="s">
        <v>21</v>
      </c>
      <c r="G82" s="1" t="s">
        <v>158</v>
      </c>
      <c r="H82" s="1" t="s">
        <v>23</v>
      </c>
      <c r="I82" s="1" t="s">
        <v>24</v>
      </c>
      <c r="J82" s="1" t="s">
        <v>25</v>
      </c>
      <c r="K82" s="1" t="s">
        <v>26</v>
      </c>
      <c r="L82">
        <v>208</v>
      </c>
      <c r="M82">
        <v>5</v>
      </c>
      <c r="N82" s="1" t="s">
        <v>28</v>
      </c>
      <c r="O82" s="1" t="s">
        <v>28</v>
      </c>
      <c r="P82" s="1" t="s">
        <v>28</v>
      </c>
      <c r="Q82" s="1" t="s">
        <v>28</v>
      </c>
      <c r="R82">
        <v>1.02</v>
      </c>
      <c r="S82" s="1" t="s">
        <v>31</v>
      </c>
    </row>
    <row r="83" spans="1:19" x14ac:dyDescent="0.25">
      <c r="A83">
        <v>186</v>
      </c>
      <c r="B83" s="1" t="s">
        <v>522</v>
      </c>
      <c r="C83" s="1" t="s">
        <v>523</v>
      </c>
      <c r="D83">
        <v>5.3</v>
      </c>
      <c r="E83">
        <v>0.1</v>
      </c>
      <c r="F83" s="1" t="s">
        <v>21</v>
      </c>
      <c r="G83" s="1" t="s">
        <v>75</v>
      </c>
      <c r="H83" s="1" t="s">
        <v>35</v>
      </c>
      <c r="I83" s="1" t="s">
        <v>36</v>
      </c>
      <c r="J83" s="1" t="s">
        <v>25</v>
      </c>
      <c r="K83" s="1" t="s">
        <v>29</v>
      </c>
      <c r="L83">
        <v>231</v>
      </c>
      <c r="M83">
        <v>5</v>
      </c>
      <c r="N83" s="1" t="s">
        <v>28</v>
      </c>
      <c r="O83" s="1" t="s">
        <v>28</v>
      </c>
      <c r="P83" s="1" t="s">
        <v>28</v>
      </c>
      <c r="Q83" s="1" t="s">
        <v>28</v>
      </c>
      <c r="R83">
        <v>0.94</v>
      </c>
      <c r="S83" s="1" t="s">
        <v>39</v>
      </c>
    </row>
    <row r="84" spans="1:19" x14ac:dyDescent="0.25">
      <c r="A84">
        <v>201</v>
      </c>
      <c r="B84" s="1" t="s">
        <v>526</v>
      </c>
      <c r="C84" s="1" t="s">
        <v>527</v>
      </c>
      <c r="D84">
        <v>5.4</v>
      </c>
      <c r="E84">
        <v>5.7</v>
      </c>
      <c r="F84" s="1" t="s">
        <v>21</v>
      </c>
      <c r="G84" s="1" t="s">
        <v>170</v>
      </c>
      <c r="H84" s="1" t="s">
        <v>23</v>
      </c>
      <c r="I84" s="1" t="s">
        <v>24</v>
      </c>
      <c r="J84" s="1" t="s">
        <v>25</v>
      </c>
      <c r="K84" s="1" t="s">
        <v>29</v>
      </c>
      <c r="L84">
        <v>257</v>
      </c>
      <c r="M84">
        <v>5</v>
      </c>
      <c r="N84" s="1" t="s">
        <v>28</v>
      </c>
      <c r="O84" s="1" t="s">
        <v>28</v>
      </c>
      <c r="P84" s="1" t="s">
        <v>28</v>
      </c>
      <c r="Q84" s="1" t="s">
        <v>28</v>
      </c>
      <c r="R84">
        <v>0.93</v>
      </c>
      <c r="S84" s="1" t="s">
        <v>39</v>
      </c>
    </row>
    <row r="85" spans="1:19" x14ac:dyDescent="0.25">
      <c r="A85">
        <v>190</v>
      </c>
      <c r="B85" s="1" t="s">
        <v>524</v>
      </c>
      <c r="C85" s="1" t="s">
        <v>525</v>
      </c>
      <c r="D85">
        <v>5.4</v>
      </c>
      <c r="E85">
        <v>0.1</v>
      </c>
      <c r="F85" s="1" t="s">
        <v>21</v>
      </c>
      <c r="G85" s="1" t="s">
        <v>75</v>
      </c>
      <c r="H85" s="1" t="s">
        <v>35</v>
      </c>
      <c r="I85" s="1" t="s">
        <v>36</v>
      </c>
      <c r="J85" s="1" t="s">
        <v>25</v>
      </c>
      <c r="K85" s="1" t="s">
        <v>29</v>
      </c>
      <c r="L85">
        <v>211</v>
      </c>
      <c r="M85">
        <v>5</v>
      </c>
      <c r="N85" s="1" t="s">
        <v>28</v>
      </c>
      <c r="O85" s="1" t="s">
        <v>28</v>
      </c>
      <c r="P85" s="1" t="s">
        <v>28</v>
      </c>
      <c r="Q85" s="1" t="s">
        <v>28</v>
      </c>
      <c r="R85">
        <v>0.93</v>
      </c>
      <c r="S85" s="1" t="s">
        <v>39</v>
      </c>
    </row>
    <row r="86" spans="1:19" x14ac:dyDescent="0.25">
      <c r="A86">
        <v>64</v>
      </c>
      <c r="B86" s="1" t="s">
        <v>528</v>
      </c>
      <c r="C86" s="1" t="s">
        <v>529</v>
      </c>
      <c r="D86">
        <v>4.5</v>
      </c>
      <c r="E86">
        <v>0.1</v>
      </c>
      <c r="F86" s="1" t="s">
        <v>21</v>
      </c>
      <c r="G86" s="1" t="s">
        <v>96</v>
      </c>
      <c r="H86" s="1" t="s">
        <v>23</v>
      </c>
      <c r="I86" s="1" t="s">
        <v>24</v>
      </c>
      <c r="J86" s="1" t="s">
        <v>25</v>
      </c>
      <c r="K86" s="1" t="s">
        <v>26</v>
      </c>
      <c r="L86">
        <v>434</v>
      </c>
      <c r="M86">
        <v>4</v>
      </c>
      <c r="N86" s="1" t="s">
        <v>28</v>
      </c>
      <c r="O86" s="1" t="s">
        <v>28</v>
      </c>
      <c r="P86" s="1" t="s">
        <v>28</v>
      </c>
      <c r="Q86" s="1" t="s">
        <v>28</v>
      </c>
      <c r="R86">
        <v>0.89</v>
      </c>
      <c r="S86" s="1" t="s">
        <v>31</v>
      </c>
    </row>
    <row r="87" spans="1:19" x14ac:dyDescent="0.25">
      <c r="A87">
        <v>144</v>
      </c>
      <c r="B87" s="1" t="s">
        <v>530</v>
      </c>
      <c r="C87" s="1" t="s">
        <v>531</v>
      </c>
      <c r="D87">
        <v>4.9000000000000004</v>
      </c>
      <c r="E87">
        <v>1</v>
      </c>
      <c r="F87" s="1" t="s">
        <v>21</v>
      </c>
      <c r="G87" s="1" t="s">
        <v>158</v>
      </c>
      <c r="H87" s="1" t="s">
        <v>23</v>
      </c>
      <c r="I87" s="1" t="s">
        <v>24</v>
      </c>
      <c r="J87" s="1" t="s">
        <v>25</v>
      </c>
      <c r="K87" s="1" t="s">
        <v>29</v>
      </c>
      <c r="L87">
        <v>272</v>
      </c>
      <c r="M87">
        <v>4</v>
      </c>
      <c r="N87" s="1" t="s">
        <v>28</v>
      </c>
      <c r="O87" s="1" t="s">
        <v>28</v>
      </c>
      <c r="P87" s="1" t="s">
        <v>28</v>
      </c>
      <c r="Q87" s="1" t="s">
        <v>28</v>
      </c>
      <c r="R87">
        <v>0.82</v>
      </c>
      <c r="S87" s="1" t="s">
        <v>31</v>
      </c>
    </row>
    <row r="88" spans="1:19" x14ac:dyDescent="0.25">
      <c r="A88">
        <v>306</v>
      </c>
      <c r="B88" s="1" t="s">
        <v>532</v>
      </c>
      <c r="C88" s="1" t="s">
        <v>533</v>
      </c>
      <c r="D88">
        <v>4</v>
      </c>
      <c r="E88">
        <v>1.1000000000000001</v>
      </c>
      <c r="F88" s="1" t="s">
        <v>21</v>
      </c>
      <c r="G88" s="1" t="s">
        <v>66</v>
      </c>
      <c r="H88" s="1" t="s">
        <v>23</v>
      </c>
      <c r="I88" s="1" t="s">
        <v>24</v>
      </c>
      <c r="J88" s="1" t="s">
        <v>25</v>
      </c>
      <c r="K88" s="1" t="s">
        <v>29</v>
      </c>
      <c r="L88">
        <v>357</v>
      </c>
      <c r="M88">
        <v>3</v>
      </c>
      <c r="N88" s="1" t="s">
        <v>28</v>
      </c>
      <c r="O88" s="1" t="s">
        <v>28</v>
      </c>
      <c r="P88" s="1" t="s">
        <v>28</v>
      </c>
      <c r="Q88" s="1" t="s">
        <v>28</v>
      </c>
      <c r="R88">
        <v>0.75</v>
      </c>
      <c r="S88" s="1" t="s">
        <v>31</v>
      </c>
    </row>
    <row r="89" spans="1:19" x14ac:dyDescent="0.25">
      <c r="A89">
        <v>289</v>
      </c>
      <c r="B89" s="1" t="s">
        <v>536</v>
      </c>
      <c r="C89" s="1" t="s">
        <v>537</v>
      </c>
      <c r="D89">
        <v>4.4000000000000004</v>
      </c>
      <c r="E89">
        <v>0.5</v>
      </c>
      <c r="F89" s="1" t="s">
        <v>21</v>
      </c>
      <c r="G89" s="1" t="s">
        <v>45</v>
      </c>
      <c r="H89" s="1" t="s">
        <v>35</v>
      </c>
      <c r="I89" s="1" t="s">
        <v>36</v>
      </c>
      <c r="J89" s="1" t="s">
        <v>25</v>
      </c>
      <c r="K89" s="1" t="s">
        <v>37</v>
      </c>
      <c r="L89">
        <v>203</v>
      </c>
      <c r="M89">
        <v>3</v>
      </c>
      <c r="N89" s="1" t="s">
        <v>28</v>
      </c>
      <c r="O89" s="1" t="s">
        <v>28</v>
      </c>
      <c r="P89" s="1" t="s">
        <v>42</v>
      </c>
      <c r="Q89" s="1" t="s">
        <v>28</v>
      </c>
      <c r="R89">
        <v>0.68</v>
      </c>
      <c r="S89" s="1" t="s">
        <v>31</v>
      </c>
    </row>
    <row r="90" spans="1:19" x14ac:dyDescent="0.25">
      <c r="A90">
        <v>149</v>
      </c>
      <c r="B90" s="1" t="s">
        <v>540</v>
      </c>
      <c r="C90" s="1" t="s">
        <v>541</v>
      </c>
      <c r="D90">
        <v>4.8</v>
      </c>
      <c r="E90">
        <v>0.9</v>
      </c>
      <c r="F90" s="1" t="s">
        <v>21</v>
      </c>
      <c r="G90" s="1" t="s">
        <v>158</v>
      </c>
      <c r="H90" s="1" t="s">
        <v>23</v>
      </c>
      <c r="I90" s="1" t="s">
        <v>24</v>
      </c>
      <c r="J90" s="1" t="s">
        <v>25</v>
      </c>
      <c r="K90" s="1" t="s">
        <v>29</v>
      </c>
      <c r="L90">
        <v>341</v>
      </c>
      <c r="M90">
        <v>3</v>
      </c>
      <c r="N90" s="1" t="s">
        <v>28</v>
      </c>
      <c r="O90" s="1" t="s">
        <v>28</v>
      </c>
      <c r="P90" s="1" t="s">
        <v>28</v>
      </c>
      <c r="Q90" s="1" t="s">
        <v>28</v>
      </c>
      <c r="R90">
        <v>0.63</v>
      </c>
      <c r="S90" s="1" t="s">
        <v>31</v>
      </c>
    </row>
    <row r="91" spans="1:19" x14ac:dyDescent="0.25">
      <c r="A91">
        <v>253</v>
      </c>
      <c r="B91" s="1" t="s">
        <v>542</v>
      </c>
      <c r="C91" s="1" t="s">
        <v>543</v>
      </c>
      <c r="D91">
        <v>5</v>
      </c>
      <c r="E91">
        <v>0.2</v>
      </c>
      <c r="F91" s="1" t="s">
        <v>21</v>
      </c>
      <c r="G91" s="1" t="s">
        <v>149</v>
      </c>
      <c r="H91" s="1" t="s">
        <v>23</v>
      </c>
      <c r="I91" s="1" t="s">
        <v>24</v>
      </c>
      <c r="J91" s="1" t="s">
        <v>25</v>
      </c>
      <c r="K91" s="1" t="s">
        <v>37</v>
      </c>
      <c r="L91">
        <v>190</v>
      </c>
      <c r="M91">
        <v>3</v>
      </c>
      <c r="N91" s="1" t="s">
        <v>28</v>
      </c>
      <c r="O91" s="1" t="s">
        <v>28</v>
      </c>
      <c r="P91" s="1" t="s">
        <v>28</v>
      </c>
      <c r="Q91" s="1" t="s">
        <v>28</v>
      </c>
      <c r="R91">
        <v>0.6</v>
      </c>
      <c r="S91" s="1" t="s">
        <v>39</v>
      </c>
    </row>
    <row r="92" spans="1:19" x14ac:dyDescent="0.25">
      <c r="A92">
        <v>501</v>
      </c>
      <c r="B92" s="1" t="s">
        <v>544</v>
      </c>
      <c r="C92" s="1" t="s">
        <v>545</v>
      </c>
      <c r="D92">
        <v>5</v>
      </c>
      <c r="E92">
        <v>0.2</v>
      </c>
      <c r="F92" s="1" t="s">
        <v>21</v>
      </c>
      <c r="G92" s="1" t="s">
        <v>165</v>
      </c>
      <c r="H92" s="1" t="s">
        <v>23</v>
      </c>
      <c r="I92" s="1" t="s">
        <v>24</v>
      </c>
      <c r="J92" s="1" t="s">
        <v>25</v>
      </c>
      <c r="K92" s="1" t="s">
        <v>37</v>
      </c>
      <c r="L92">
        <v>270</v>
      </c>
      <c r="M92">
        <v>3</v>
      </c>
      <c r="N92" s="1" t="s">
        <v>28</v>
      </c>
      <c r="O92" s="1" t="s">
        <v>28</v>
      </c>
      <c r="P92" s="1" t="s">
        <v>28</v>
      </c>
      <c r="Q92" s="1" t="s">
        <v>28</v>
      </c>
      <c r="R92">
        <v>0.6</v>
      </c>
      <c r="S92" s="1" t="s">
        <v>39</v>
      </c>
    </row>
    <row r="93" spans="1:19" x14ac:dyDescent="0.25">
      <c r="A93">
        <v>457</v>
      </c>
      <c r="B93" s="1" t="s">
        <v>550</v>
      </c>
      <c r="C93" s="1" t="s">
        <v>551</v>
      </c>
      <c r="D93">
        <v>5.9</v>
      </c>
      <c r="E93">
        <v>0.1</v>
      </c>
      <c r="F93" s="1" t="s">
        <v>21</v>
      </c>
      <c r="G93" s="1" t="s">
        <v>80</v>
      </c>
      <c r="H93" s="1" t="s">
        <v>35</v>
      </c>
      <c r="I93" s="1" t="s">
        <v>36</v>
      </c>
      <c r="J93" s="1" t="s">
        <v>25</v>
      </c>
      <c r="K93" s="1" t="s">
        <v>26</v>
      </c>
      <c r="L93">
        <v>181</v>
      </c>
      <c r="M93">
        <v>3</v>
      </c>
      <c r="N93" s="1" t="s">
        <v>28</v>
      </c>
      <c r="O93" s="1" t="s">
        <v>28</v>
      </c>
      <c r="P93" s="1" t="s">
        <v>28</v>
      </c>
      <c r="Q93" s="1" t="s">
        <v>28</v>
      </c>
      <c r="R93">
        <v>0.51</v>
      </c>
      <c r="S93" s="1" t="s">
        <v>39</v>
      </c>
    </row>
    <row r="94" spans="1:19" x14ac:dyDescent="0.25">
      <c r="A94">
        <v>532</v>
      </c>
      <c r="B94" s="1" t="s">
        <v>283</v>
      </c>
      <c r="C94" s="1" t="s">
        <v>284</v>
      </c>
      <c r="D94">
        <v>4.9000000000000004</v>
      </c>
      <c r="E94">
        <v>2.5</v>
      </c>
      <c r="F94" s="1" t="s">
        <v>125</v>
      </c>
      <c r="G94" s="1" t="s">
        <v>165</v>
      </c>
      <c r="H94" s="1" t="s">
        <v>23</v>
      </c>
      <c r="I94" s="1" t="s">
        <v>24</v>
      </c>
      <c r="J94" s="1" t="s">
        <v>25</v>
      </c>
      <c r="K94" s="1" t="s">
        <v>26</v>
      </c>
      <c r="L94">
        <v>450</v>
      </c>
      <c r="M94">
        <v>14</v>
      </c>
      <c r="N94" s="1" t="s">
        <v>28</v>
      </c>
      <c r="O94" s="1" t="s">
        <v>28</v>
      </c>
      <c r="P94" s="1" t="s">
        <v>42</v>
      </c>
      <c r="Q94" s="1" t="s">
        <v>28</v>
      </c>
      <c r="R94">
        <v>2.86</v>
      </c>
      <c r="S94" s="1" t="s">
        <v>31</v>
      </c>
    </row>
    <row r="95" spans="1:19" x14ac:dyDescent="0.25">
      <c r="A95">
        <v>471</v>
      </c>
      <c r="B95" s="1" t="s">
        <v>385</v>
      </c>
      <c r="C95" s="1" t="s">
        <v>386</v>
      </c>
      <c r="D95">
        <v>5.4</v>
      </c>
      <c r="E95">
        <v>1</v>
      </c>
      <c r="F95" s="1" t="s">
        <v>274</v>
      </c>
      <c r="G95" s="1" t="s">
        <v>170</v>
      </c>
      <c r="H95" s="1" t="s">
        <v>23</v>
      </c>
      <c r="I95" s="1" t="s">
        <v>24</v>
      </c>
      <c r="J95" s="1" t="s">
        <v>25</v>
      </c>
      <c r="K95" s="1" t="s">
        <v>37</v>
      </c>
      <c r="L95">
        <v>270</v>
      </c>
      <c r="M95">
        <v>12</v>
      </c>
      <c r="N95" s="1" t="s">
        <v>28</v>
      </c>
      <c r="O95" s="1" t="s">
        <v>28</v>
      </c>
      <c r="P95" s="1" t="s">
        <v>42</v>
      </c>
      <c r="Q95" s="1" t="s">
        <v>28</v>
      </c>
      <c r="R95">
        <v>2.2200000000000002</v>
      </c>
      <c r="S95" s="1" t="s">
        <v>39</v>
      </c>
    </row>
    <row r="96" spans="1:19" x14ac:dyDescent="0.25">
      <c r="A96">
        <v>84</v>
      </c>
      <c r="B96" s="1" t="s">
        <v>432</v>
      </c>
      <c r="C96" s="1" t="s">
        <v>433</v>
      </c>
      <c r="D96">
        <v>5.4</v>
      </c>
      <c r="E96">
        <v>1</v>
      </c>
      <c r="F96" s="1" t="s">
        <v>274</v>
      </c>
      <c r="G96" s="1" t="s">
        <v>63</v>
      </c>
      <c r="H96" s="1" t="s">
        <v>23</v>
      </c>
      <c r="I96" s="1" t="s">
        <v>24</v>
      </c>
      <c r="J96" s="1" t="s">
        <v>25</v>
      </c>
      <c r="K96" s="1" t="s">
        <v>37</v>
      </c>
      <c r="L96">
        <v>196</v>
      </c>
      <c r="M96">
        <v>10</v>
      </c>
      <c r="N96" s="1" t="s">
        <v>28</v>
      </c>
      <c r="O96" s="1" t="s">
        <v>28</v>
      </c>
      <c r="P96" s="1" t="s">
        <v>42</v>
      </c>
      <c r="Q96" s="1" t="s">
        <v>28</v>
      </c>
      <c r="R96">
        <v>1.85</v>
      </c>
      <c r="S96" s="1" t="s">
        <v>39</v>
      </c>
    </row>
    <row r="97" spans="1:19" x14ac:dyDescent="0.25">
      <c r="A97">
        <v>175</v>
      </c>
      <c r="B97" s="1" t="s">
        <v>484</v>
      </c>
      <c r="C97" s="1" t="s">
        <v>485</v>
      </c>
      <c r="D97">
        <v>4</v>
      </c>
      <c r="E97">
        <v>8.8000000000000007</v>
      </c>
      <c r="F97" s="1" t="s">
        <v>125</v>
      </c>
      <c r="G97" s="1" t="s">
        <v>75</v>
      </c>
      <c r="H97" s="1" t="s">
        <v>23</v>
      </c>
      <c r="I97" s="1" t="s">
        <v>24</v>
      </c>
      <c r="J97" s="1" t="s">
        <v>25</v>
      </c>
      <c r="K97" s="1" t="s">
        <v>29</v>
      </c>
      <c r="L97">
        <v>360</v>
      </c>
      <c r="M97">
        <v>6</v>
      </c>
      <c r="N97" s="1" t="s">
        <v>28</v>
      </c>
      <c r="O97" s="1" t="s">
        <v>28</v>
      </c>
      <c r="P97" s="1" t="s">
        <v>28</v>
      </c>
      <c r="Q97" s="1" t="s">
        <v>28</v>
      </c>
      <c r="R97">
        <v>1.5</v>
      </c>
      <c r="S97" s="1" t="s">
        <v>31</v>
      </c>
    </row>
    <row r="98" spans="1:19" x14ac:dyDescent="0.25">
      <c r="A98">
        <v>429</v>
      </c>
      <c r="B98" s="1" t="s">
        <v>489</v>
      </c>
      <c r="C98" s="1" t="s">
        <v>490</v>
      </c>
      <c r="D98">
        <v>7</v>
      </c>
      <c r="E98">
        <v>1.5</v>
      </c>
      <c r="F98" s="1" t="s">
        <v>125</v>
      </c>
      <c r="G98" s="1" t="s">
        <v>177</v>
      </c>
      <c r="H98" s="1" t="s">
        <v>35</v>
      </c>
      <c r="I98" s="1" t="s">
        <v>36</v>
      </c>
      <c r="J98" s="1" t="s">
        <v>25</v>
      </c>
      <c r="K98" s="1" t="s">
        <v>26</v>
      </c>
      <c r="L98">
        <v>351</v>
      </c>
      <c r="M98">
        <v>10</v>
      </c>
      <c r="N98" s="1" t="s">
        <v>28</v>
      </c>
      <c r="O98" s="1" t="s">
        <v>28</v>
      </c>
      <c r="P98" s="1" t="s">
        <v>42</v>
      </c>
      <c r="Q98" s="1" t="s">
        <v>28</v>
      </c>
      <c r="R98">
        <v>1.43</v>
      </c>
      <c r="S98" s="1" t="s">
        <v>146</v>
      </c>
    </row>
    <row r="99" spans="1:19" x14ac:dyDescent="0.25">
      <c r="A99">
        <v>246</v>
      </c>
      <c r="B99" s="1" t="s">
        <v>509</v>
      </c>
      <c r="C99" s="1" t="s">
        <v>510</v>
      </c>
      <c r="D99">
        <v>4.9000000000000004</v>
      </c>
      <c r="E99">
        <v>0</v>
      </c>
      <c r="F99" s="1" t="s">
        <v>274</v>
      </c>
      <c r="G99" s="1" t="s">
        <v>50</v>
      </c>
      <c r="H99" s="1" t="s">
        <v>35</v>
      </c>
      <c r="I99" s="1" t="s">
        <v>36</v>
      </c>
      <c r="J99" s="1" t="s">
        <v>25</v>
      </c>
      <c r="K99" s="1" t="s">
        <v>37</v>
      </c>
      <c r="L99">
        <v>249</v>
      </c>
      <c r="M99">
        <v>6</v>
      </c>
      <c r="N99" s="1" t="s">
        <v>28</v>
      </c>
      <c r="O99" s="1" t="s">
        <v>28</v>
      </c>
      <c r="P99" s="1" t="s">
        <v>42</v>
      </c>
      <c r="Q99" s="1" t="s">
        <v>28</v>
      </c>
      <c r="R99">
        <v>1.22</v>
      </c>
      <c r="S99" s="1" t="s">
        <v>31</v>
      </c>
    </row>
    <row r="100" spans="1:19" x14ac:dyDescent="0.25">
      <c r="A100">
        <v>182</v>
      </c>
      <c r="B100" s="1" t="s">
        <v>518</v>
      </c>
      <c r="C100" s="1" t="s">
        <v>519</v>
      </c>
      <c r="D100">
        <v>4</v>
      </c>
      <c r="E100">
        <v>0.6</v>
      </c>
      <c r="F100" s="1" t="s">
        <v>274</v>
      </c>
      <c r="G100" s="1" t="s">
        <v>75</v>
      </c>
      <c r="H100" s="1" t="s">
        <v>23</v>
      </c>
      <c r="I100" s="1" t="s">
        <v>24</v>
      </c>
      <c r="J100" s="1" t="s">
        <v>25</v>
      </c>
      <c r="K100" s="1" t="s">
        <v>29</v>
      </c>
      <c r="L100">
        <v>360</v>
      </c>
      <c r="M100">
        <v>4</v>
      </c>
      <c r="N100" s="1" t="s">
        <v>28</v>
      </c>
      <c r="O100" s="1" t="s">
        <v>28</v>
      </c>
      <c r="P100" s="1" t="s">
        <v>28</v>
      </c>
      <c r="Q100" s="1" t="s">
        <v>28</v>
      </c>
      <c r="R100">
        <v>1</v>
      </c>
      <c r="S100" s="1" t="s">
        <v>31</v>
      </c>
    </row>
    <row r="101" spans="1:19" x14ac:dyDescent="0.25">
      <c r="A101">
        <v>198</v>
      </c>
      <c r="B101" s="1" t="s">
        <v>520</v>
      </c>
      <c r="C101" s="1" t="s">
        <v>521</v>
      </c>
      <c r="D101">
        <v>5</v>
      </c>
      <c r="E101">
        <v>1.3</v>
      </c>
      <c r="F101" s="1" t="s">
        <v>274</v>
      </c>
      <c r="G101" s="1" t="s">
        <v>91</v>
      </c>
      <c r="H101" s="1" t="s">
        <v>46</v>
      </c>
      <c r="I101" s="1" t="s">
        <v>47</v>
      </c>
      <c r="J101" s="1" t="s">
        <v>25</v>
      </c>
      <c r="K101" s="1" t="s">
        <v>37</v>
      </c>
      <c r="L101">
        <v>270</v>
      </c>
      <c r="M101">
        <v>5</v>
      </c>
      <c r="N101" s="1" t="s">
        <v>28</v>
      </c>
      <c r="O101" s="1" t="s">
        <v>28</v>
      </c>
      <c r="P101" s="1" t="s">
        <v>28</v>
      </c>
      <c r="Q101" s="1" t="s">
        <v>28</v>
      </c>
      <c r="R101">
        <v>1</v>
      </c>
      <c r="S101" s="1" t="s">
        <v>39</v>
      </c>
    </row>
    <row r="102" spans="1:19" x14ac:dyDescent="0.25">
      <c r="A102">
        <v>577</v>
      </c>
      <c r="B102" s="1" t="s">
        <v>534</v>
      </c>
      <c r="C102" s="1" t="s">
        <v>535</v>
      </c>
      <c r="D102">
        <v>4.4000000000000004</v>
      </c>
      <c r="E102">
        <v>0.3</v>
      </c>
      <c r="F102" s="1" t="s">
        <v>125</v>
      </c>
      <c r="G102" s="1" t="s">
        <v>91</v>
      </c>
      <c r="H102" s="1" t="s">
        <v>23</v>
      </c>
      <c r="I102" s="1" t="s">
        <v>24</v>
      </c>
      <c r="J102" s="1" t="s">
        <v>25</v>
      </c>
      <c r="K102" s="1" t="s">
        <v>29</v>
      </c>
      <c r="L102">
        <v>189</v>
      </c>
      <c r="M102">
        <v>3</v>
      </c>
      <c r="N102" s="1" t="s">
        <v>28</v>
      </c>
      <c r="O102" s="1" t="s">
        <v>28</v>
      </c>
      <c r="P102" s="1" t="s">
        <v>28</v>
      </c>
      <c r="Q102" s="1" t="s">
        <v>28</v>
      </c>
      <c r="R102">
        <v>0.68</v>
      </c>
      <c r="S102" s="1" t="s">
        <v>31</v>
      </c>
    </row>
    <row r="103" spans="1:19" x14ac:dyDescent="0.25">
      <c r="A103">
        <v>34</v>
      </c>
      <c r="B103" s="1" t="s">
        <v>538</v>
      </c>
      <c r="C103" s="1" t="s">
        <v>539</v>
      </c>
      <c r="D103">
        <v>4.5</v>
      </c>
      <c r="E103">
        <v>0.3</v>
      </c>
      <c r="F103" s="1" t="s">
        <v>274</v>
      </c>
      <c r="G103" s="1" t="s">
        <v>215</v>
      </c>
      <c r="H103" s="1" t="s">
        <v>23</v>
      </c>
      <c r="I103" s="1" t="s">
        <v>24</v>
      </c>
      <c r="J103" s="1" t="s">
        <v>25</v>
      </c>
      <c r="K103" s="1" t="s">
        <v>37</v>
      </c>
      <c r="L103">
        <v>187</v>
      </c>
      <c r="M103">
        <v>3</v>
      </c>
      <c r="N103" s="1" t="s">
        <v>28</v>
      </c>
      <c r="O103" s="1" t="s">
        <v>28</v>
      </c>
      <c r="P103" s="1" t="s">
        <v>28</v>
      </c>
      <c r="Q103" s="1" t="s">
        <v>28</v>
      </c>
      <c r="R103">
        <v>0.67</v>
      </c>
      <c r="S103" s="1" t="s">
        <v>31</v>
      </c>
    </row>
    <row r="104" spans="1:19" x14ac:dyDescent="0.25">
      <c r="A104">
        <v>492</v>
      </c>
      <c r="B104" s="1" t="s">
        <v>548</v>
      </c>
      <c r="C104" s="1" t="s">
        <v>549</v>
      </c>
      <c r="D104">
        <v>5.4</v>
      </c>
      <c r="E104">
        <v>0.4</v>
      </c>
      <c r="F104" s="1" t="s">
        <v>488</v>
      </c>
      <c r="G104" s="1" t="s">
        <v>75</v>
      </c>
      <c r="H104" s="1" t="s">
        <v>107</v>
      </c>
      <c r="I104" s="1" t="s">
        <v>108</v>
      </c>
      <c r="J104" s="1" t="s">
        <v>25</v>
      </c>
      <c r="K104" s="1" t="s">
        <v>29</v>
      </c>
      <c r="L104">
        <v>232</v>
      </c>
      <c r="M104">
        <v>3</v>
      </c>
      <c r="N104" s="1" t="s">
        <v>28</v>
      </c>
      <c r="O104" s="1" t="s">
        <v>28</v>
      </c>
      <c r="P104" s="1" t="s">
        <v>28</v>
      </c>
      <c r="Q104" s="1" t="s">
        <v>28</v>
      </c>
      <c r="R104">
        <v>0.56000000000000005</v>
      </c>
      <c r="S104" s="1" t="s">
        <v>39</v>
      </c>
    </row>
    <row r="105" spans="1:19" x14ac:dyDescent="0.25">
      <c r="A105">
        <v>142</v>
      </c>
      <c r="B105" s="1" t="s">
        <v>546</v>
      </c>
      <c r="C105" s="1" t="s">
        <v>547</v>
      </c>
      <c r="D105">
        <v>5.4</v>
      </c>
      <c r="E105">
        <v>5.8</v>
      </c>
      <c r="F105" s="1" t="s">
        <v>125</v>
      </c>
      <c r="G105" s="1" t="s">
        <v>158</v>
      </c>
      <c r="H105" s="1" t="s">
        <v>23</v>
      </c>
      <c r="I105" s="1" t="s">
        <v>24</v>
      </c>
      <c r="J105" s="1" t="s">
        <v>25</v>
      </c>
      <c r="K105" s="1" t="s">
        <v>29</v>
      </c>
      <c r="L105">
        <v>292</v>
      </c>
      <c r="M105">
        <v>3</v>
      </c>
      <c r="N105" s="1" t="s">
        <v>28</v>
      </c>
      <c r="O105" s="1" t="s">
        <v>28</v>
      </c>
      <c r="P105" s="1" t="s">
        <v>28</v>
      </c>
      <c r="Q105" s="1" t="s">
        <v>28</v>
      </c>
      <c r="R105">
        <v>0.56000000000000005</v>
      </c>
      <c r="S105" s="1" t="s">
        <v>39</v>
      </c>
    </row>
    <row r="106" spans="1:19" x14ac:dyDescent="0.25">
      <c r="A106">
        <v>650</v>
      </c>
      <c r="B106" s="1" t="s">
        <v>307</v>
      </c>
      <c r="C106" s="1" t="s">
        <v>308</v>
      </c>
      <c r="D106">
        <v>4.5</v>
      </c>
      <c r="E106">
        <v>0.1</v>
      </c>
      <c r="F106" s="1" t="s">
        <v>21</v>
      </c>
      <c r="G106" s="1" t="s">
        <v>149</v>
      </c>
      <c r="H106" s="1" t="s">
        <v>23</v>
      </c>
      <c r="I106" s="1" t="s">
        <v>24</v>
      </c>
      <c r="J106" s="1" t="s">
        <v>309</v>
      </c>
      <c r="K106" s="1" t="s">
        <v>27</v>
      </c>
      <c r="L106">
        <v>180</v>
      </c>
      <c r="M106">
        <v>12</v>
      </c>
      <c r="N106" s="1" t="s">
        <v>28</v>
      </c>
      <c r="O106" s="1" t="s">
        <v>28</v>
      </c>
      <c r="P106" s="1" t="s">
        <v>42</v>
      </c>
      <c r="Q106" s="1" t="s">
        <v>28</v>
      </c>
      <c r="R106">
        <v>2.67</v>
      </c>
      <c r="S106" s="1" t="s">
        <v>31</v>
      </c>
    </row>
    <row r="107" spans="1:19" x14ac:dyDescent="0.25">
      <c r="A107">
        <v>619</v>
      </c>
      <c r="B107" s="1" t="s">
        <v>387</v>
      </c>
      <c r="C107" s="1" t="s">
        <v>391</v>
      </c>
      <c r="D107">
        <v>5</v>
      </c>
      <c r="E107">
        <v>0.1</v>
      </c>
      <c r="F107" s="1" t="s">
        <v>21</v>
      </c>
      <c r="G107" s="1" t="s">
        <v>66</v>
      </c>
      <c r="H107" s="1" t="s">
        <v>35</v>
      </c>
      <c r="I107" s="1" t="s">
        <v>36</v>
      </c>
      <c r="J107" s="1" t="s">
        <v>392</v>
      </c>
      <c r="K107" s="1" t="s">
        <v>29</v>
      </c>
      <c r="L107">
        <v>275</v>
      </c>
      <c r="M107">
        <v>11</v>
      </c>
      <c r="N107" s="1" t="s">
        <v>28</v>
      </c>
      <c r="O107" s="1" t="s">
        <v>28</v>
      </c>
      <c r="P107" s="1" t="s">
        <v>28</v>
      </c>
      <c r="Q107" s="1" t="s">
        <v>28</v>
      </c>
      <c r="R107">
        <v>2.2000000000000002</v>
      </c>
      <c r="S107" s="1" t="s">
        <v>39</v>
      </c>
    </row>
    <row r="108" spans="1:19" x14ac:dyDescent="0.25">
      <c r="A108">
        <v>644</v>
      </c>
      <c r="B108" s="1" t="s">
        <v>444</v>
      </c>
      <c r="C108" s="1" t="s">
        <v>445</v>
      </c>
      <c r="D108">
        <v>5</v>
      </c>
      <c r="E108">
        <v>0</v>
      </c>
      <c r="F108" s="1" t="s">
        <v>21</v>
      </c>
      <c r="G108" s="1" t="s">
        <v>91</v>
      </c>
      <c r="H108" s="1" t="s">
        <v>35</v>
      </c>
      <c r="I108" s="1" t="s">
        <v>36</v>
      </c>
      <c r="J108" s="1" t="s">
        <v>309</v>
      </c>
      <c r="K108" s="1" t="s">
        <v>37</v>
      </c>
      <c r="L108">
        <v>253</v>
      </c>
      <c r="M108">
        <v>9</v>
      </c>
      <c r="N108" s="1" t="s">
        <v>28</v>
      </c>
      <c r="O108" s="1" t="s">
        <v>28</v>
      </c>
      <c r="P108" s="1" t="s">
        <v>42</v>
      </c>
      <c r="Q108" s="1" t="s">
        <v>28</v>
      </c>
      <c r="R108">
        <v>1.8</v>
      </c>
      <c r="S108" s="1" t="s">
        <v>39</v>
      </c>
    </row>
    <row r="109" spans="1:19" x14ac:dyDescent="0.25">
      <c r="A109">
        <v>334</v>
      </c>
      <c r="B109" s="1" t="s">
        <v>87</v>
      </c>
      <c r="C109" s="1" t="s">
        <v>88</v>
      </c>
      <c r="D109">
        <v>5</v>
      </c>
      <c r="E109">
        <v>4.3</v>
      </c>
      <c r="F109" s="1" t="s">
        <v>21</v>
      </c>
      <c r="G109" s="1" t="s">
        <v>22</v>
      </c>
      <c r="H109" s="1" t="s">
        <v>23</v>
      </c>
      <c r="I109" s="1" t="s">
        <v>24</v>
      </c>
      <c r="J109" s="1" t="s">
        <v>25</v>
      </c>
      <c r="K109" s="1" t="s">
        <v>26</v>
      </c>
      <c r="L109">
        <v>450</v>
      </c>
      <c r="M109">
        <v>27</v>
      </c>
      <c r="N109" s="1" t="s">
        <v>28</v>
      </c>
      <c r="O109" s="1" t="s">
        <v>42</v>
      </c>
      <c r="P109" s="1" t="s">
        <v>27</v>
      </c>
      <c r="Q109" s="1" t="s">
        <v>28</v>
      </c>
      <c r="R109">
        <v>5.4</v>
      </c>
      <c r="S109" s="1" t="s">
        <v>39</v>
      </c>
    </row>
    <row r="110" spans="1:19" x14ac:dyDescent="0.25">
      <c r="A110">
        <v>127</v>
      </c>
      <c r="B110" s="1" t="s">
        <v>128</v>
      </c>
      <c r="C110" s="1" t="s">
        <v>129</v>
      </c>
      <c r="D110">
        <v>5</v>
      </c>
      <c r="E110">
        <v>4</v>
      </c>
      <c r="F110" s="1" t="s">
        <v>21</v>
      </c>
      <c r="G110" s="1" t="s">
        <v>34</v>
      </c>
      <c r="H110" s="1" t="s">
        <v>35</v>
      </c>
      <c r="I110" s="1" t="s">
        <v>36</v>
      </c>
      <c r="J110" s="1" t="s">
        <v>25</v>
      </c>
      <c r="K110" s="1" t="s">
        <v>26</v>
      </c>
      <c r="L110">
        <v>433</v>
      </c>
      <c r="M110">
        <v>24</v>
      </c>
      <c r="N110" s="1" t="s">
        <v>28</v>
      </c>
      <c r="O110" s="1" t="s">
        <v>37</v>
      </c>
      <c r="P110" s="1" t="s">
        <v>37</v>
      </c>
      <c r="Q110" s="1" t="s">
        <v>28</v>
      </c>
      <c r="R110">
        <v>4.8</v>
      </c>
      <c r="S110" s="1" t="s">
        <v>39</v>
      </c>
    </row>
    <row r="111" spans="1:19" x14ac:dyDescent="0.25">
      <c r="A111">
        <v>258</v>
      </c>
      <c r="B111" s="1" t="s">
        <v>147</v>
      </c>
      <c r="C111" s="1" t="s">
        <v>148</v>
      </c>
      <c r="D111">
        <v>4.5</v>
      </c>
      <c r="E111">
        <v>0.9</v>
      </c>
      <c r="F111" s="1" t="s">
        <v>21</v>
      </c>
      <c r="G111" s="1" t="s">
        <v>149</v>
      </c>
      <c r="H111" s="1" t="s">
        <v>23</v>
      </c>
      <c r="I111" s="1" t="s">
        <v>24</v>
      </c>
      <c r="J111" s="1" t="s">
        <v>25</v>
      </c>
      <c r="K111" s="1" t="s">
        <v>26</v>
      </c>
      <c r="L111">
        <v>408</v>
      </c>
      <c r="M111">
        <v>20</v>
      </c>
      <c r="N111" s="1" t="s">
        <v>28</v>
      </c>
      <c r="O111" s="1" t="s">
        <v>27</v>
      </c>
      <c r="P111" s="1" t="s">
        <v>27</v>
      </c>
      <c r="Q111" s="1" t="s">
        <v>28</v>
      </c>
      <c r="R111">
        <v>4.4400000000000004</v>
      </c>
      <c r="S111" s="1" t="s">
        <v>31</v>
      </c>
    </row>
    <row r="112" spans="1:19" x14ac:dyDescent="0.25">
      <c r="A112">
        <v>214</v>
      </c>
      <c r="B112" s="1" t="s">
        <v>166</v>
      </c>
      <c r="C112" s="1" t="s">
        <v>167</v>
      </c>
      <c r="D112">
        <v>5</v>
      </c>
      <c r="E112">
        <v>0.5</v>
      </c>
      <c r="F112" s="1" t="s">
        <v>21</v>
      </c>
      <c r="G112" s="1" t="s">
        <v>91</v>
      </c>
      <c r="H112" s="1" t="s">
        <v>35</v>
      </c>
      <c r="I112" s="1" t="s">
        <v>36</v>
      </c>
      <c r="J112" s="1" t="s">
        <v>25</v>
      </c>
      <c r="K112" s="1" t="s">
        <v>26</v>
      </c>
      <c r="L112">
        <v>441</v>
      </c>
      <c r="M112">
        <v>21</v>
      </c>
      <c r="N112" s="1" t="s">
        <v>28</v>
      </c>
      <c r="O112" s="1" t="s">
        <v>37</v>
      </c>
      <c r="P112" s="1" t="s">
        <v>42</v>
      </c>
      <c r="Q112" s="1" t="s">
        <v>28</v>
      </c>
      <c r="R112">
        <v>4.2</v>
      </c>
      <c r="S112" s="1" t="s">
        <v>39</v>
      </c>
    </row>
    <row r="113" spans="1:19" x14ac:dyDescent="0.25">
      <c r="A113">
        <v>472</v>
      </c>
      <c r="B113" s="1" t="s">
        <v>168</v>
      </c>
      <c r="C113" s="1" t="s">
        <v>169</v>
      </c>
      <c r="D113">
        <v>5.5</v>
      </c>
      <c r="E113">
        <v>2.1</v>
      </c>
      <c r="F113" s="1" t="s">
        <v>21</v>
      </c>
      <c r="G113" s="1" t="s">
        <v>170</v>
      </c>
      <c r="H113" s="1" t="s">
        <v>23</v>
      </c>
      <c r="I113" s="1" t="s">
        <v>24</v>
      </c>
      <c r="J113" s="1" t="s">
        <v>25</v>
      </c>
      <c r="K113" s="1" t="s">
        <v>26</v>
      </c>
      <c r="L113">
        <v>449</v>
      </c>
      <c r="M113">
        <v>23</v>
      </c>
      <c r="N113" s="1" t="s">
        <v>28</v>
      </c>
      <c r="O113" s="1" t="s">
        <v>42</v>
      </c>
      <c r="P113" s="1" t="s">
        <v>42</v>
      </c>
      <c r="Q113" s="1" t="s">
        <v>28</v>
      </c>
      <c r="R113">
        <v>4.18</v>
      </c>
      <c r="S113" s="1" t="s">
        <v>39</v>
      </c>
    </row>
    <row r="114" spans="1:19" x14ac:dyDescent="0.25">
      <c r="A114">
        <v>338</v>
      </c>
      <c r="B114" s="1" t="s">
        <v>188</v>
      </c>
      <c r="C114" s="1" t="s">
        <v>189</v>
      </c>
      <c r="D114">
        <v>5.4</v>
      </c>
      <c r="E114">
        <v>0.9</v>
      </c>
      <c r="F114" s="1" t="s">
        <v>21</v>
      </c>
      <c r="G114" s="1" t="s">
        <v>22</v>
      </c>
      <c r="H114" s="1" t="s">
        <v>35</v>
      </c>
      <c r="I114" s="1" t="s">
        <v>36</v>
      </c>
      <c r="J114" s="1" t="s">
        <v>25</v>
      </c>
      <c r="K114" s="1" t="s">
        <v>26</v>
      </c>
      <c r="L114">
        <v>450</v>
      </c>
      <c r="M114">
        <v>21</v>
      </c>
      <c r="N114" s="1" t="s">
        <v>28</v>
      </c>
      <c r="O114" s="1" t="s">
        <v>42</v>
      </c>
      <c r="P114" s="1" t="s">
        <v>27</v>
      </c>
      <c r="Q114" s="1" t="s">
        <v>28</v>
      </c>
      <c r="R114">
        <v>3.89</v>
      </c>
      <c r="S114" s="1" t="s">
        <v>39</v>
      </c>
    </row>
    <row r="115" spans="1:19" x14ac:dyDescent="0.25">
      <c r="A115">
        <v>290</v>
      </c>
      <c r="B115" s="1" t="s">
        <v>230</v>
      </c>
      <c r="C115" s="1" t="s">
        <v>231</v>
      </c>
      <c r="D115">
        <v>4.5</v>
      </c>
      <c r="E115">
        <v>5.2</v>
      </c>
      <c r="F115" s="1" t="s">
        <v>21</v>
      </c>
      <c r="G115" s="1" t="s">
        <v>45</v>
      </c>
      <c r="H115" s="1" t="s">
        <v>35</v>
      </c>
      <c r="I115" s="1" t="s">
        <v>36</v>
      </c>
      <c r="J115" s="1" t="s">
        <v>25</v>
      </c>
      <c r="K115" s="1" t="s">
        <v>26</v>
      </c>
      <c r="L115">
        <v>437</v>
      </c>
      <c r="M115">
        <v>15</v>
      </c>
      <c r="N115" s="1" t="s">
        <v>28</v>
      </c>
      <c r="O115" s="1" t="s">
        <v>42</v>
      </c>
      <c r="P115" s="1" t="s">
        <v>37</v>
      </c>
      <c r="Q115" s="1" t="s">
        <v>28</v>
      </c>
      <c r="R115">
        <v>3.33</v>
      </c>
      <c r="S115" s="1" t="s">
        <v>31</v>
      </c>
    </row>
    <row r="116" spans="1:19" x14ac:dyDescent="0.25">
      <c r="A116">
        <v>244</v>
      </c>
      <c r="B116" s="1" t="s">
        <v>240</v>
      </c>
      <c r="C116" s="1" t="s">
        <v>241</v>
      </c>
      <c r="D116">
        <v>5</v>
      </c>
      <c r="E116">
        <v>0.4</v>
      </c>
      <c r="F116" s="1" t="s">
        <v>21</v>
      </c>
      <c r="G116" s="1" t="s">
        <v>50</v>
      </c>
      <c r="H116" s="1" t="s">
        <v>35</v>
      </c>
      <c r="I116" s="1" t="s">
        <v>36</v>
      </c>
      <c r="J116" s="1" t="s">
        <v>25</v>
      </c>
      <c r="K116" s="1" t="s">
        <v>26</v>
      </c>
      <c r="L116">
        <v>446</v>
      </c>
      <c r="M116">
        <v>16</v>
      </c>
      <c r="N116" s="1" t="s">
        <v>28</v>
      </c>
      <c r="O116" s="1" t="s">
        <v>42</v>
      </c>
      <c r="P116" s="1" t="s">
        <v>37</v>
      </c>
      <c r="Q116" s="1" t="s">
        <v>28</v>
      </c>
      <c r="R116">
        <v>3.2</v>
      </c>
      <c r="S116" s="1" t="s">
        <v>39</v>
      </c>
    </row>
    <row r="117" spans="1:19" x14ac:dyDescent="0.25">
      <c r="A117">
        <v>541</v>
      </c>
      <c r="B117" s="1" t="s">
        <v>252</v>
      </c>
      <c r="C117" s="1" t="s">
        <v>253</v>
      </c>
      <c r="D117">
        <v>4.5</v>
      </c>
      <c r="E117">
        <v>0.3</v>
      </c>
      <c r="F117" s="1" t="s">
        <v>21</v>
      </c>
      <c r="G117" s="1" t="s">
        <v>165</v>
      </c>
      <c r="H117" s="1" t="s">
        <v>23</v>
      </c>
      <c r="I117" s="1" t="s">
        <v>24</v>
      </c>
      <c r="J117" s="1" t="s">
        <v>25</v>
      </c>
      <c r="K117" s="1" t="s">
        <v>26</v>
      </c>
      <c r="L117">
        <v>396</v>
      </c>
      <c r="M117">
        <v>14</v>
      </c>
      <c r="N117" s="1" t="s">
        <v>28</v>
      </c>
      <c r="O117" s="1" t="s">
        <v>42</v>
      </c>
      <c r="P117" s="1" t="s">
        <v>42</v>
      </c>
      <c r="Q117" s="1" t="s">
        <v>28</v>
      </c>
      <c r="R117">
        <v>3.11</v>
      </c>
      <c r="S117" s="1" t="s">
        <v>31</v>
      </c>
    </row>
    <row r="118" spans="1:19" x14ac:dyDescent="0.25">
      <c r="A118">
        <v>79</v>
      </c>
      <c r="B118" s="1" t="s">
        <v>268</v>
      </c>
      <c r="C118" s="1" t="s">
        <v>269</v>
      </c>
      <c r="D118">
        <v>6</v>
      </c>
      <c r="E118">
        <v>3.2</v>
      </c>
      <c r="F118" s="1" t="s">
        <v>21</v>
      </c>
      <c r="G118" s="1" t="s">
        <v>96</v>
      </c>
      <c r="H118" s="1" t="s">
        <v>107</v>
      </c>
      <c r="I118" s="1" t="s">
        <v>108</v>
      </c>
      <c r="J118" s="1" t="s">
        <v>25</v>
      </c>
      <c r="K118" s="1" t="s">
        <v>26</v>
      </c>
      <c r="L118">
        <v>424</v>
      </c>
      <c r="M118">
        <v>18</v>
      </c>
      <c r="N118" s="1" t="s">
        <v>28</v>
      </c>
      <c r="O118" s="1" t="s">
        <v>37</v>
      </c>
      <c r="P118" s="1" t="s">
        <v>27</v>
      </c>
      <c r="Q118" s="1" t="s">
        <v>28</v>
      </c>
      <c r="R118">
        <v>3</v>
      </c>
      <c r="S118" s="1" t="s">
        <v>39</v>
      </c>
    </row>
    <row r="119" spans="1:19" x14ac:dyDescent="0.25">
      <c r="A119">
        <v>47</v>
      </c>
      <c r="B119" s="1" t="s">
        <v>262</v>
      </c>
      <c r="C119" s="1" t="s">
        <v>263</v>
      </c>
      <c r="D119">
        <v>5</v>
      </c>
      <c r="E119">
        <v>0.3</v>
      </c>
      <c r="F119" s="1" t="s">
        <v>21</v>
      </c>
      <c r="G119" s="1" t="s">
        <v>215</v>
      </c>
      <c r="H119" s="1" t="s">
        <v>35</v>
      </c>
      <c r="I119" s="1" t="s">
        <v>36</v>
      </c>
      <c r="J119" s="1" t="s">
        <v>25</v>
      </c>
      <c r="K119" s="1" t="s">
        <v>26</v>
      </c>
      <c r="L119">
        <v>443</v>
      </c>
      <c r="M119">
        <v>15</v>
      </c>
      <c r="N119" s="1" t="s">
        <v>28</v>
      </c>
      <c r="O119" s="1" t="s">
        <v>42</v>
      </c>
      <c r="P119" s="1" t="s">
        <v>27</v>
      </c>
      <c r="Q119" s="1" t="s">
        <v>28</v>
      </c>
      <c r="R119">
        <v>3</v>
      </c>
      <c r="S119" s="1" t="s">
        <v>39</v>
      </c>
    </row>
    <row r="120" spans="1:19" x14ac:dyDescent="0.25">
      <c r="A120">
        <v>345</v>
      </c>
      <c r="B120" s="1" t="s">
        <v>287</v>
      </c>
      <c r="C120" s="1" t="s">
        <v>288</v>
      </c>
      <c r="D120">
        <v>4.9000000000000004</v>
      </c>
      <c r="E120">
        <v>0.3</v>
      </c>
      <c r="F120" s="1" t="s">
        <v>21</v>
      </c>
      <c r="G120" s="1" t="s">
        <v>22</v>
      </c>
      <c r="H120" s="1" t="s">
        <v>35</v>
      </c>
      <c r="I120" s="1" t="s">
        <v>36</v>
      </c>
      <c r="J120" s="1" t="s">
        <v>25</v>
      </c>
      <c r="K120" s="1" t="s">
        <v>29</v>
      </c>
      <c r="L120">
        <v>255</v>
      </c>
      <c r="M120">
        <v>14</v>
      </c>
      <c r="N120" s="1" t="s">
        <v>28</v>
      </c>
      <c r="O120" s="1" t="s">
        <v>27</v>
      </c>
      <c r="P120" s="1" t="s">
        <v>27</v>
      </c>
      <c r="Q120" s="1" t="s">
        <v>28</v>
      </c>
      <c r="R120">
        <v>2.86</v>
      </c>
      <c r="S120" s="1" t="s">
        <v>31</v>
      </c>
    </row>
    <row r="121" spans="1:19" x14ac:dyDescent="0.25">
      <c r="A121">
        <v>591</v>
      </c>
      <c r="B121" s="1" t="s">
        <v>299</v>
      </c>
      <c r="C121" s="1" t="s">
        <v>300</v>
      </c>
      <c r="D121">
        <v>5.5</v>
      </c>
      <c r="E121">
        <v>0.8</v>
      </c>
      <c r="F121" s="1" t="s">
        <v>21</v>
      </c>
      <c r="G121" s="1" t="s">
        <v>66</v>
      </c>
      <c r="H121" s="1" t="s">
        <v>35</v>
      </c>
      <c r="I121" s="1" t="s">
        <v>36</v>
      </c>
      <c r="J121" s="1" t="s">
        <v>25</v>
      </c>
      <c r="K121" s="1" t="s">
        <v>26</v>
      </c>
      <c r="L121">
        <v>413</v>
      </c>
      <c r="M121">
        <v>15</v>
      </c>
      <c r="N121" s="1" t="s">
        <v>28</v>
      </c>
      <c r="O121" s="1" t="s">
        <v>27</v>
      </c>
      <c r="P121" s="1" t="s">
        <v>28</v>
      </c>
      <c r="Q121" s="1" t="s">
        <v>28</v>
      </c>
      <c r="R121">
        <v>2.73</v>
      </c>
      <c r="S121" s="1" t="s">
        <v>39</v>
      </c>
    </row>
    <row r="122" spans="1:19" x14ac:dyDescent="0.25">
      <c r="A122">
        <v>13</v>
      </c>
      <c r="B122" s="1" t="s">
        <v>305</v>
      </c>
      <c r="C122" s="1" t="s">
        <v>306</v>
      </c>
      <c r="D122">
        <v>7.4</v>
      </c>
      <c r="E122">
        <v>11.7</v>
      </c>
      <c r="F122" s="1" t="s">
        <v>125</v>
      </c>
      <c r="G122" s="1" t="s">
        <v>104</v>
      </c>
      <c r="H122" s="1" t="s">
        <v>35</v>
      </c>
      <c r="I122" s="1" t="s">
        <v>36</v>
      </c>
      <c r="J122" s="1" t="s">
        <v>25</v>
      </c>
      <c r="K122" s="1" t="s">
        <v>26</v>
      </c>
      <c r="L122">
        <v>411</v>
      </c>
      <c r="M122">
        <v>20</v>
      </c>
      <c r="N122" s="1" t="s">
        <v>28</v>
      </c>
      <c r="O122" s="1" t="s">
        <v>27</v>
      </c>
      <c r="P122" s="1" t="s">
        <v>37</v>
      </c>
      <c r="Q122" s="1" t="s">
        <v>28</v>
      </c>
      <c r="R122">
        <v>2.7</v>
      </c>
      <c r="S122" s="1" t="s">
        <v>146</v>
      </c>
    </row>
    <row r="123" spans="1:19" x14ac:dyDescent="0.25">
      <c r="A123">
        <v>211</v>
      </c>
      <c r="B123" s="1" t="s">
        <v>329</v>
      </c>
      <c r="C123" s="1" t="s">
        <v>330</v>
      </c>
      <c r="D123">
        <v>5.5</v>
      </c>
      <c r="E123">
        <v>0.3</v>
      </c>
      <c r="F123" s="1" t="s">
        <v>21</v>
      </c>
      <c r="G123" s="1" t="s">
        <v>91</v>
      </c>
      <c r="H123" s="1" t="s">
        <v>35</v>
      </c>
      <c r="I123" s="1" t="s">
        <v>36</v>
      </c>
      <c r="J123" s="1" t="s">
        <v>25</v>
      </c>
      <c r="K123" s="1" t="s">
        <v>26</v>
      </c>
      <c r="L123">
        <v>307</v>
      </c>
      <c r="M123">
        <v>14</v>
      </c>
      <c r="N123" s="1" t="s">
        <v>28</v>
      </c>
      <c r="O123" s="1" t="s">
        <v>27</v>
      </c>
      <c r="P123" s="1" t="s">
        <v>42</v>
      </c>
      <c r="Q123" s="1" t="s">
        <v>28</v>
      </c>
      <c r="R123">
        <v>2.5499999999999998</v>
      </c>
      <c r="S123" s="1" t="s">
        <v>39</v>
      </c>
    </row>
    <row r="124" spans="1:19" x14ac:dyDescent="0.25">
      <c r="A124">
        <v>366</v>
      </c>
      <c r="B124" s="1" t="s">
        <v>343</v>
      </c>
      <c r="C124" s="1" t="s">
        <v>344</v>
      </c>
      <c r="D124">
        <v>7.3</v>
      </c>
      <c r="E124">
        <v>5.7</v>
      </c>
      <c r="F124" s="1" t="s">
        <v>21</v>
      </c>
      <c r="G124" s="1" t="s">
        <v>117</v>
      </c>
      <c r="H124" s="1" t="s">
        <v>35</v>
      </c>
      <c r="I124" s="1" t="s">
        <v>36</v>
      </c>
      <c r="J124" s="1" t="s">
        <v>25</v>
      </c>
      <c r="K124" s="1" t="s">
        <v>26</v>
      </c>
      <c r="L124">
        <v>402</v>
      </c>
      <c r="M124">
        <v>18</v>
      </c>
      <c r="N124" s="1" t="s">
        <v>28</v>
      </c>
      <c r="O124" s="1" t="s">
        <v>27</v>
      </c>
      <c r="P124" s="1" t="s">
        <v>37</v>
      </c>
      <c r="Q124" s="1" t="s">
        <v>28</v>
      </c>
      <c r="R124">
        <v>2.4700000000000002</v>
      </c>
      <c r="S124" s="1" t="s">
        <v>146</v>
      </c>
    </row>
    <row r="125" spans="1:19" x14ac:dyDescent="0.25">
      <c r="A125">
        <v>295</v>
      </c>
      <c r="B125" s="1" t="s">
        <v>359</v>
      </c>
      <c r="C125" s="1" t="s">
        <v>360</v>
      </c>
      <c r="D125">
        <v>5.5</v>
      </c>
      <c r="E125">
        <v>1.9</v>
      </c>
      <c r="F125" s="1" t="s">
        <v>21</v>
      </c>
      <c r="G125" s="1" t="s">
        <v>45</v>
      </c>
      <c r="H125" s="1" t="s">
        <v>107</v>
      </c>
      <c r="I125" s="1" t="s">
        <v>108</v>
      </c>
      <c r="J125" s="1" t="s">
        <v>25</v>
      </c>
      <c r="K125" s="1" t="s">
        <v>26</v>
      </c>
      <c r="L125">
        <v>441</v>
      </c>
      <c r="M125">
        <v>13</v>
      </c>
      <c r="N125" s="1" t="s">
        <v>28</v>
      </c>
      <c r="O125" s="1" t="s">
        <v>27</v>
      </c>
      <c r="P125" s="1" t="s">
        <v>37</v>
      </c>
      <c r="Q125" s="1" t="s">
        <v>28</v>
      </c>
      <c r="R125">
        <v>2.36</v>
      </c>
      <c r="S125" s="1" t="s">
        <v>39</v>
      </c>
    </row>
    <row r="126" spans="1:19" x14ac:dyDescent="0.25">
      <c r="A126">
        <v>267</v>
      </c>
      <c r="B126" s="1" t="s">
        <v>373</v>
      </c>
      <c r="C126" s="1" t="s">
        <v>374</v>
      </c>
      <c r="D126">
        <v>4.9000000000000004</v>
      </c>
      <c r="E126">
        <v>0.1</v>
      </c>
      <c r="F126" s="1" t="s">
        <v>21</v>
      </c>
      <c r="G126" s="1" t="s">
        <v>66</v>
      </c>
      <c r="H126" s="1" t="s">
        <v>35</v>
      </c>
      <c r="I126" s="1" t="s">
        <v>36</v>
      </c>
      <c r="J126" s="1" t="s">
        <v>25</v>
      </c>
      <c r="K126" s="1" t="s">
        <v>26</v>
      </c>
      <c r="L126">
        <v>400</v>
      </c>
      <c r="M126">
        <v>11</v>
      </c>
      <c r="N126" s="1" t="s">
        <v>28</v>
      </c>
      <c r="O126" s="1" t="s">
        <v>42</v>
      </c>
      <c r="P126" s="1" t="s">
        <v>28</v>
      </c>
      <c r="Q126" s="1" t="s">
        <v>28</v>
      </c>
      <c r="R126">
        <v>2.2400000000000002</v>
      </c>
      <c r="S126" s="1" t="s">
        <v>31</v>
      </c>
    </row>
    <row r="127" spans="1:19" x14ac:dyDescent="0.25">
      <c r="A127">
        <v>200</v>
      </c>
      <c r="B127" s="1" t="s">
        <v>389</v>
      </c>
      <c r="C127" s="1" t="s">
        <v>390</v>
      </c>
      <c r="D127">
        <v>5.9</v>
      </c>
      <c r="E127">
        <v>6.8</v>
      </c>
      <c r="F127" s="1" t="s">
        <v>21</v>
      </c>
      <c r="G127" s="1" t="s">
        <v>158</v>
      </c>
      <c r="H127" s="1" t="s">
        <v>23</v>
      </c>
      <c r="I127" s="1" t="s">
        <v>24</v>
      </c>
      <c r="J127" s="1" t="s">
        <v>25</v>
      </c>
      <c r="K127" s="1" t="s">
        <v>26</v>
      </c>
      <c r="L127">
        <v>364</v>
      </c>
      <c r="M127">
        <v>13</v>
      </c>
      <c r="N127" s="1" t="s">
        <v>28</v>
      </c>
      <c r="O127" s="1" t="s">
        <v>42</v>
      </c>
      <c r="P127" s="1" t="s">
        <v>28</v>
      </c>
      <c r="Q127" s="1" t="s">
        <v>28</v>
      </c>
      <c r="R127">
        <v>2.2000000000000002</v>
      </c>
      <c r="S127" s="1" t="s">
        <v>39</v>
      </c>
    </row>
    <row r="128" spans="1:19" x14ac:dyDescent="0.25">
      <c r="A128">
        <v>423</v>
      </c>
      <c r="B128" s="1" t="s">
        <v>403</v>
      </c>
      <c r="C128" s="1" t="s">
        <v>404</v>
      </c>
      <c r="D128">
        <v>4.3</v>
      </c>
      <c r="E128">
        <v>7.7</v>
      </c>
      <c r="F128" s="1" t="s">
        <v>21</v>
      </c>
      <c r="G128" s="1" t="s">
        <v>177</v>
      </c>
      <c r="H128" s="1" t="s">
        <v>23</v>
      </c>
      <c r="I128" s="1" t="s">
        <v>24</v>
      </c>
      <c r="J128" s="1" t="s">
        <v>25</v>
      </c>
      <c r="K128" s="1" t="s">
        <v>29</v>
      </c>
      <c r="L128">
        <v>335</v>
      </c>
      <c r="M128">
        <v>9</v>
      </c>
      <c r="N128" s="1" t="s">
        <v>28</v>
      </c>
      <c r="O128" s="1" t="s">
        <v>42</v>
      </c>
      <c r="P128" s="1" t="s">
        <v>28</v>
      </c>
      <c r="Q128" s="1" t="s">
        <v>28</v>
      </c>
      <c r="R128">
        <v>2.09</v>
      </c>
      <c r="S128" s="1" t="s">
        <v>31</v>
      </c>
    </row>
    <row r="129" spans="1:19" x14ac:dyDescent="0.25">
      <c r="A129">
        <v>418</v>
      </c>
      <c r="B129" s="1" t="s">
        <v>405</v>
      </c>
      <c r="C129" s="1" t="s">
        <v>406</v>
      </c>
      <c r="D129">
        <v>4.8</v>
      </c>
      <c r="E129">
        <v>8.6999999999999993</v>
      </c>
      <c r="F129" s="1" t="s">
        <v>21</v>
      </c>
      <c r="G129" s="1" t="s">
        <v>177</v>
      </c>
      <c r="H129" s="1" t="s">
        <v>23</v>
      </c>
      <c r="I129" s="1" t="s">
        <v>24</v>
      </c>
      <c r="J129" s="1" t="s">
        <v>25</v>
      </c>
      <c r="K129" s="1" t="s">
        <v>26</v>
      </c>
      <c r="L129">
        <v>450</v>
      </c>
      <c r="M129">
        <v>10</v>
      </c>
      <c r="N129" s="1" t="s">
        <v>28</v>
      </c>
      <c r="O129" s="1" t="s">
        <v>42</v>
      </c>
      <c r="P129" s="1" t="s">
        <v>28</v>
      </c>
      <c r="Q129" s="1" t="s">
        <v>28</v>
      </c>
      <c r="R129">
        <v>2.08</v>
      </c>
      <c r="S129" s="1" t="s">
        <v>31</v>
      </c>
    </row>
    <row r="130" spans="1:19" x14ac:dyDescent="0.25">
      <c r="A130">
        <v>102</v>
      </c>
      <c r="B130" s="1" t="s">
        <v>424</v>
      </c>
      <c r="C130" s="1" t="s">
        <v>425</v>
      </c>
      <c r="D130">
        <v>4.8</v>
      </c>
      <c r="E130">
        <v>0.6</v>
      </c>
      <c r="F130" s="1" t="s">
        <v>21</v>
      </c>
      <c r="G130" s="1" t="s">
        <v>63</v>
      </c>
      <c r="H130" s="1" t="s">
        <v>35</v>
      </c>
      <c r="I130" s="1" t="s">
        <v>36</v>
      </c>
      <c r="J130" s="1" t="s">
        <v>25</v>
      </c>
      <c r="K130" s="1" t="s">
        <v>26</v>
      </c>
      <c r="L130">
        <v>216</v>
      </c>
      <c r="M130">
        <v>9</v>
      </c>
      <c r="N130" s="1" t="s">
        <v>28</v>
      </c>
      <c r="O130" s="1" t="s">
        <v>42</v>
      </c>
      <c r="P130" s="1" t="s">
        <v>42</v>
      </c>
      <c r="Q130" s="1" t="s">
        <v>28</v>
      </c>
      <c r="R130">
        <v>1.88</v>
      </c>
      <c r="S130" s="1" t="s">
        <v>31</v>
      </c>
    </row>
    <row r="131" spans="1:19" x14ac:dyDescent="0.25">
      <c r="A131">
        <v>148</v>
      </c>
      <c r="B131" s="1" t="s">
        <v>448</v>
      </c>
      <c r="C131" s="1" t="s">
        <v>449</v>
      </c>
      <c r="D131">
        <v>4.5</v>
      </c>
      <c r="E131">
        <v>0.8</v>
      </c>
      <c r="F131" s="1" t="s">
        <v>21</v>
      </c>
      <c r="G131" s="1" t="s">
        <v>158</v>
      </c>
      <c r="H131" s="1" t="s">
        <v>23</v>
      </c>
      <c r="I131" s="1" t="s">
        <v>24</v>
      </c>
      <c r="J131" s="1" t="s">
        <v>25</v>
      </c>
      <c r="K131" s="1" t="s">
        <v>29</v>
      </c>
      <c r="L131">
        <v>258</v>
      </c>
      <c r="M131">
        <v>8</v>
      </c>
      <c r="N131" s="1" t="s">
        <v>28</v>
      </c>
      <c r="O131" s="1" t="s">
        <v>27</v>
      </c>
      <c r="P131" s="1" t="s">
        <v>28</v>
      </c>
      <c r="Q131" s="1" t="s">
        <v>28</v>
      </c>
      <c r="R131">
        <v>1.78</v>
      </c>
      <c r="S131" s="1" t="s">
        <v>31</v>
      </c>
    </row>
    <row r="132" spans="1:19" x14ac:dyDescent="0.25">
      <c r="A132">
        <v>371</v>
      </c>
      <c r="B132" s="1" t="s">
        <v>476</v>
      </c>
      <c r="C132" s="1" t="s">
        <v>477</v>
      </c>
      <c r="D132">
        <v>5.8</v>
      </c>
      <c r="E132">
        <v>1.1000000000000001</v>
      </c>
      <c r="F132" s="1" t="s">
        <v>21</v>
      </c>
      <c r="G132" s="1" t="s">
        <v>117</v>
      </c>
      <c r="H132" s="1" t="s">
        <v>35</v>
      </c>
      <c r="I132" s="1" t="s">
        <v>36</v>
      </c>
      <c r="J132" s="1" t="s">
        <v>25</v>
      </c>
      <c r="K132" s="1" t="s">
        <v>26</v>
      </c>
      <c r="L132">
        <v>190</v>
      </c>
      <c r="M132">
        <v>9</v>
      </c>
      <c r="N132" s="1" t="s">
        <v>28</v>
      </c>
      <c r="O132" s="1" t="s">
        <v>42</v>
      </c>
      <c r="P132" s="1" t="s">
        <v>28</v>
      </c>
      <c r="Q132" s="1" t="s">
        <v>28</v>
      </c>
      <c r="R132">
        <v>1.55</v>
      </c>
      <c r="S132" s="1" t="s">
        <v>39</v>
      </c>
    </row>
    <row r="133" spans="1:19" x14ac:dyDescent="0.25">
      <c r="A133">
        <v>315</v>
      </c>
      <c r="B133" s="1" t="s">
        <v>486</v>
      </c>
      <c r="C133" s="1" t="s">
        <v>487</v>
      </c>
      <c r="D133">
        <v>5.4</v>
      </c>
      <c r="E133">
        <v>0.2</v>
      </c>
      <c r="F133" s="1" t="s">
        <v>488</v>
      </c>
      <c r="G133" s="1" t="s">
        <v>66</v>
      </c>
      <c r="H133" s="1" t="s">
        <v>35</v>
      </c>
      <c r="I133" s="1" t="s">
        <v>36</v>
      </c>
      <c r="J133" s="1" t="s">
        <v>25</v>
      </c>
      <c r="K133" s="1" t="s">
        <v>26</v>
      </c>
      <c r="L133">
        <v>352</v>
      </c>
      <c r="M133">
        <v>8</v>
      </c>
      <c r="N133" s="1" t="s">
        <v>28</v>
      </c>
      <c r="O133" s="1" t="s">
        <v>42</v>
      </c>
      <c r="P133" s="1" t="s">
        <v>28</v>
      </c>
      <c r="Q133" s="1" t="s">
        <v>28</v>
      </c>
      <c r="R133">
        <v>1.48</v>
      </c>
      <c r="S133" s="1" t="s">
        <v>39</v>
      </c>
    </row>
    <row r="134" spans="1:19" x14ac:dyDescent="0.25">
      <c r="A134">
        <v>588</v>
      </c>
      <c r="B134" s="1" t="s">
        <v>198</v>
      </c>
      <c r="C134" s="1" t="s">
        <v>199</v>
      </c>
      <c r="D134">
        <v>5</v>
      </c>
      <c r="E134">
        <v>0.3</v>
      </c>
      <c r="F134" s="1" t="s">
        <v>21</v>
      </c>
      <c r="G134" s="1" t="s">
        <v>91</v>
      </c>
      <c r="H134" s="1" t="s">
        <v>23</v>
      </c>
      <c r="I134" s="1" t="s">
        <v>24</v>
      </c>
      <c r="J134" s="1" t="s">
        <v>25</v>
      </c>
      <c r="K134" s="1" t="s">
        <v>26</v>
      </c>
      <c r="L134">
        <v>379</v>
      </c>
      <c r="M134">
        <v>19</v>
      </c>
      <c r="N134" s="1" t="s">
        <v>42</v>
      </c>
      <c r="O134" s="1" t="s">
        <v>28</v>
      </c>
      <c r="P134" s="1" t="s">
        <v>42</v>
      </c>
      <c r="Q134" s="1" t="s">
        <v>28</v>
      </c>
      <c r="R134">
        <v>3.8</v>
      </c>
      <c r="S134" s="1" t="s">
        <v>39</v>
      </c>
    </row>
    <row r="135" spans="1:19" x14ac:dyDescent="0.25">
      <c r="A135">
        <v>551</v>
      </c>
      <c r="B135" s="1" t="s">
        <v>238</v>
      </c>
      <c r="C135" s="1" t="s">
        <v>239</v>
      </c>
      <c r="D135">
        <v>5</v>
      </c>
      <c r="E135">
        <v>0.1</v>
      </c>
      <c r="F135" s="1" t="s">
        <v>21</v>
      </c>
      <c r="G135" s="1" t="s">
        <v>165</v>
      </c>
      <c r="H135" s="1" t="s">
        <v>35</v>
      </c>
      <c r="I135" s="1" t="s">
        <v>36</v>
      </c>
      <c r="J135" s="1" t="s">
        <v>25</v>
      </c>
      <c r="K135" s="1" t="s">
        <v>26</v>
      </c>
      <c r="L135">
        <v>313</v>
      </c>
      <c r="M135">
        <v>16</v>
      </c>
      <c r="N135" s="1" t="s">
        <v>42</v>
      </c>
      <c r="O135" s="1" t="s">
        <v>42</v>
      </c>
      <c r="P135" s="1" t="s">
        <v>42</v>
      </c>
      <c r="Q135" s="1" t="s">
        <v>28</v>
      </c>
      <c r="R135">
        <v>3.2</v>
      </c>
      <c r="S135" s="1" t="s">
        <v>39</v>
      </c>
    </row>
    <row r="136" spans="1:19" x14ac:dyDescent="0.25">
      <c r="A136">
        <v>129</v>
      </c>
      <c r="B136" s="1" t="s">
        <v>297</v>
      </c>
      <c r="C136" s="1" t="s">
        <v>298</v>
      </c>
      <c r="D136">
        <v>5.4</v>
      </c>
      <c r="E136">
        <v>0.4</v>
      </c>
      <c r="F136" s="1" t="s">
        <v>21</v>
      </c>
      <c r="G136" s="1" t="s">
        <v>34</v>
      </c>
      <c r="H136" s="1" t="s">
        <v>35</v>
      </c>
      <c r="I136" s="1" t="s">
        <v>36</v>
      </c>
      <c r="J136" s="1" t="s">
        <v>25</v>
      </c>
      <c r="K136" s="1" t="s">
        <v>29</v>
      </c>
      <c r="L136">
        <v>333</v>
      </c>
      <c r="M136">
        <v>15</v>
      </c>
      <c r="N136" s="1" t="s">
        <v>42</v>
      </c>
      <c r="O136" s="1" t="s">
        <v>28</v>
      </c>
      <c r="P136" s="1" t="s">
        <v>37</v>
      </c>
      <c r="Q136" s="1" t="s">
        <v>28</v>
      </c>
      <c r="R136">
        <v>2.78</v>
      </c>
      <c r="S136" s="1" t="s">
        <v>39</v>
      </c>
    </row>
    <row r="137" spans="1:19" x14ac:dyDescent="0.25">
      <c r="A137">
        <v>569</v>
      </c>
      <c r="B137" s="1" t="s">
        <v>363</v>
      </c>
      <c r="C137" s="1" t="s">
        <v>364</v>
      </c>
      <c r="D137">
        <v>6</v>
      </c>
      <c r="E137">
        <v>3.9</v>
      </c>
      <c r="F137" s="1" t="s">
        <v>21</v>
      </c>
      <c r="G137" s="1" t="s">
        <v>149</v>
      </c>
      <c r="H137" s="1" t="s">
        <v>107</v>
      </c>
      <c r="I137" s="1" t="s">
        <v>108</v>
      </c>
      <c r="J137" s="1" t="s">
        <v>25</v>
      </c>
      <c r="K137" s="1" t="s">
        <v>26</v>
      </c>
      <c r="L137">
        <v>425</v>
      </c>
      <c r="M137">
        <v>14</v>
      </c>
      <c r="N137" s="1" t="s">
        <v>42</v>
      </c>
      <c r="O137" s="1" t="s">
        <v>28</v>
      </c>
      <c r="P137" s="1" t="s">
        <v>27</v>
      </c>
      <c r="Q137" s="1" t="s">
        <v>28</v>
      </c>
      <c r="R137">
        <v>2.33</v>
      </c>
      <c r="S137" s="1" t="s">
        <v>39</v>
      </c>
    </row>
    <row r="138" spans="1:19" x14ac:dyDescent="0.25">
      <c r="A138">
        <v>377</v>
      </c>
      <c r="B138" s="1" t="s">
        <v>369</v>
      </c>
      <c r="C138" s="1" t="s">
        <v>370</v>
      </c>
      <c r="D138">
        <v>6.5</v>
      </c>
      <c r="E138">
        <v>0.9</v>
      </c>
      <c r="F138" s="1" t="s">
        <v>21</v>
      </c>
      <c r="G138" s="1" t="s">
        <v>117</v>
      </c>
      <c r="H138" s="1" t="s">
        <v>35</v>
      </c>
      <c r="I138" s="1" t="s">
        <v>36</v>
      </c>
      <c r="J138" s="1" t="s">
        <v>25</v>
      </c>
      <c r="K138" s="1" t="s">
        <v>26</v>
      </c>
      <c r="L138">
        <v>257</v>
      </c>
      <c r="M138">
        <v>15</v>
      </c>
      <c r="N138" s="1" t="s">
        <v>42</v>
      </c>
      <c r="O138" s="1" t="s">
        <v>42</v>
      </c>
      <c r="P138" s="1" t="s">
        <v>42</v>
      </c>
      <c r="Q138" s="1" t="s">
        <v>28</v>
      </c>
      <c r="R138">
        <v>2.31</v>
      </c>
      <c r="S138" s="1" t="s">
        <v>39</v>
      </c>
    </row>
    <row r="139" spans="1:19" x14ac:dyDescent="0.25">
      <c r="A139">
        <v>161</v>
      </c>
      <c r="B139" s="1" t="s">
        <v>393</v>
      </c>
      <c r="C139" s="1" t="s">
        <v>394</v>
      </c>
      <c r="D139">
        <v>5</v>
      </c>
      <c r="E139">
        <v>0.2</v>
      </c>
      <c r="F139" s="1" t="s">
        <v>21</v>
      </c>
      <c r="G139" s="1" t="s">
        <v>158</v>
      </c>
      <c r="H139" s="1" t="s">
        <v>35</v>
      </c>
      <c r="I139" s="1" t="s">
        <v>36</v>
      </c>
      <c r="J139" s="1" t="s">
        <v>25</v>
      </c>
      <c r="K139" s="1" t="s">
        <v>29</v>
      </c>
      <c r="L139">
        <v>258</v>
      </c>
      <c r="M139">
        <v>11</v>
      </c>
      <c r="N139" s="1" t="s">
        <v>42</v>
      </c>
      <c r="O139" s="1" t="s">
        <v>28</v>
      </c>
      <c r="P139" s="1" t="s">
        <v>28</v>
      </c>
      <c r="Q139" s="1" t="s">
        <v>28</v>
      </c>
      <c r="R139">
        <v>2.2000000000000002</v>
      </c>
      <c r="S139" s="1" t="s">
        <v>39</v>
      </c>
    </row>
    <row r="140" spans="1:19" x14ac:dyDescent="0.25">
      <c r="A140">
        <v>156</v>
      </c>
      <c r="B140" s="1" t="s">
        <v>401</v>
      </c>
      <c r="C140" s="1" t="s">
        <v>402</v>
      </c>
      <c r="D140">
        <v>6.5</v>
      </c>
      <c r="E140">
        <v>1.4</v>
      </c>
      <c r="F140" s="1" t="s">
        <v>21</v>
      </c>
      <c r="G140" s="1" t="s">
        <v>158</v>
      </c>
      <c r="H140" s="1" t="s">
        <v>35</v>
      </c>
      <c r="I140" s="1" t="s">
        <v>36</v>
      </c>
      <c r="J140" s="1" t="s">
        <v>25</v>
      </c>
      <c r="K140" s="1" t="s">
        <v>26</v>
      </c>
      <c r="L140">
        <v>332</v>
      </c>
      <c r="M140">
        <v>14</v>
      </c>
      <c r="N140" s="1" t="s">
        <v>42</v>
      </c>
      <c r="O140" s="1" t="s">
        <v>28</v>
      </c>
      <c r="P140" s="1" t="s">
        <v>28</v>
      </c>
      <c r="Q140" s="1" t="s">
        <v>28</v>
      </c>
      <c r="R140">
        <v>2.15</v>
      </c>
      <c r="S140" s="1" t="s">
        <v>39</v>
      </c>
    </row>
    <row r="141" spans="1:19" x14ac:dyDescent="0.25">
      <c r="A141">
        <v>155</v>
      </c>
      <c r="B141" s="1" t="s">
        <v>422</v>
      </c>
      <c r="C141" s="1" t="s">
        <v>423</v>
      </c>
      <c r="D141">
        <v>6.9</v>
      </c>
      <c r="E141">
        <v>3.6</v>
      </c>
      <c r="F141" s="1" t="s">
        <v>21</v>
      </c>
      <c r="G141" s="1" t="s">
        <v>54</v>
      </c>
      <c r="H141" s="1" t="s">
        <v>35</v>
      </c>
      <c r="I141" s="1" t="s">
        <v>36</v>
      </c>
      <c r="J141" s="1" t="s">
        <v>25</v>
      </c>
      <c r="K141" s="1" t="s">
        <v>29</v>
      </c>
      <c r="L141">
        <v>271</v>
      </c>
      <c r="M141">
        <v>13</v>
      </c>
      <c r="N141" s="1" t="s">
        <v>42</v>
      </c>
      <c r="O141" s="1" t="s">
        <v>28</v>
      </c>
      <c r="P141" s="1" t="s">
        <v>27</v>
      </c>
      <c r="Q141" s="1" t="s">
        <v>28</v>
      </c>
      <c r="R141">
        <v>1.88</v>
      </c>
      <c r="S141" s="1" t="s">
        <v>39</v>
      </c>
    </row>
    <row r="142" spans="1:19" x14ac:dyDescent="0.25">
      <c r="A142">
        <v>167</v>
      </c>
      <c r="B142" s="1" t="s">
        <v>464</v>
      </c>
      <c r="C142" s="1" t="s">
        <v>465</v>
      </c>
      <c r="D142">
        <v>5.6</v>
      </c>
      <c r="E142">
        <v>2.7</v>
      </c>
      <c r="F142" s="1" t="s">
        <v>21</v>
      </c>
      <c r="G142" s="1" t="s">
        <v>170</v>
      </c>
      <c r="H142" s="1" t="s">
        <v>107</v>
      </c>
      <c r="I142" s="1" t="s">
        <v>108</v>
      </c>
      <c r="J142" s="1" t="s">
        <v>25</v>
      </c>
      <c r="K142" s="1" t="s">
        <v>29</v>
      </c>
      <c r="L142">
        <v>277</v>
      </c>
      <c r="M142">
        <v>9</v>
      </c>
      <c r="N142" s="1" t="s">
        <v>42</v>
      </c>
      <c r="O142" s="1" t="s">
        <v>28</v>
      </c>
      <c r="P142" s="1" t="s">
        <v>42</v>
      </c>
      <c r="Q142" s="1" t="s">
        <v>28</v>
      </c>
      <c r="R142">
        <v>1.61</v>
      </c>
      <c r="S142" s="1" t="s">
        <v>39</v>
      </c>
    </row>
    <row r="143" spans="1:19" x14ac:dyDescent="0.25">
      <c r="A143">
        <v>106</v>
      </c>
      <c r="B143" s="1" t="s">
        <v>501</v>
      </c>
      <c r="C143" s="1" t="s">
        <v>502</v>
      </c>
      <c r="D143">
        <v>7.8</v>
      </c>
      <c r="E143">
        <v>9.1</v>
      </c>
      <c r="F143" s="1" t="s">
        <v>21</v>
      </c>
      <c r="G143" s="1" t="s">
        <v>63</v>
      </c>
      <c r="H143" s="1" t="s">
        <v>107</v>
      </c>
      <c r="I143" s="1" t="s">
        <v>108</v>
      </c>
      <c r="J143" s="1" t="s">
        <v>25</v>
      </c>
      <c r="K143" s="1" t="s">
        <v>26</v>
      </c>
      <c r="L143">
        <v>442</v>
      </c>
      <c r="M143">
        <v>10</v>
      </c>
      <c r="N143" s="1" t="s">
        <v>42</v>
      </c>
      <c r="O143" s="1" t="s">
        <v>28</v>
      </c>
      <c r="P143" s="1" t="s">
        <v>27</v>
      </c>
      <c r="Q143" s="1" t="s">
        <v>28</v>
      </c>
      <c r="R143">
        <v>1.28</v>
      </c>
      <c r="S143" s="1" t="s">
        <v>146</v>
      </c>
    </row>
    <row r="144" spans="1:19" x14ac:dyDescent="0.25">
      <c r="A144">
        <v>330</v>
      </c>
      <c r="B144" s="1" t="s">
        <v>19</v>
      </c>
      <c r="C144" s="1" t="s">
        <v>20</v>
      </c>
      <c r="D144">
        <v>4.5999999999999996</v>
      </c>
      <c r="E144">
        <v>7.1</v>
      </c>
      <c r="F144" s="1" t="s">
        <v>21</v>
      </c>
      <c r="G144" s="1" t="s">
        <v>22</v>
      </c>
      <c r="H144" s="1" t="s">
        <v>23</v>
      </c>
      <c r="I144" s="1" t="s">
        <v>24</v>
      </c>
      <c r="J144" s="1" t="s">
        <v>25</v>
      </c>
      <c r="K144" s="1" t="s">
        <v>26</v>
      </c>
      <c r="L144">
        <v>365</v>
      </c>
      <c r="M144">
        <v>42</v>
      </c>
      <c r="N144" s="1" t="s">
        <v>27</v>
      </c>
      <c r="O144" s="1" t="s">
        <v>28</v>
      </c>
      <c r="P144" s="1" t="s">
        <v>29</v>
      </c>
      <c r="Q144" s="1" t="s">
        <v>30</v>
      </c>
      <c r="R144">
        <v>9.1300000000000008</v>
      </c>
      <c r="S144" s="1" t="s">
        <v>31</v>
      </c>
    </row>
    <row r="145" spans="1:19" x14ac:dyDescent="0.25">
      <c r="A145">
        <v>124</v>
      </c>
      <c r="B145" s="1" t="s">
        <v>32</v>
      </c>
      <c r="C145" s="1" t="s">
        <v>33</v>
      </c>
      <c r="D145">
        <v>5.8</v>
      </c>
      <c r="E145">
        <v>28.6</v>
      </c>
      <c r="F145" s="1" t="s">
        <v>21</v>
      </c>
      <c r="G145" s="1" t="s">
        <v>34</v>
      </c>
      <c r="H145" s="1" t="s">
        <v>35</v>
      </c>
      <c r="I145" s="1" t="s">
        <v>36</v>
      </c>
      <c r="J145" s="1" t="s">
        <v>25</v>
      </c>
      <c r="K145" s="1" t="s">
        <v>26</v>
      </c>
      <c r="L145">
        <v>450</v>
      </c>
      <c r="M145">
        <v>47</v>
      </c>
      <c r="N145" s="1" t="s">
        <v>37</v>
      </c>
      <c r="O145" s="1" t="s">
        <v>29</v>
      </c>
      <c r="P145" s="1" t="s">
        <v>37</v>
      </c>
      <c r="Q145" s="1" t="s">
        <v>38</v>
      </c>
      <c r="R145">
        <v>8.1</v>
      </c>
      <c r="S145" s="1" t="s">
        <v>39</v>
      </c>
    </row>
    <row r="146" spans="1:19" x14ac:dyDescent="0.25">
      <c r="A146">
        <v>115</v>
      </c>
      <c r="B146" s="1" t="s">
        <v>40</v>
      </c>
      <c r="C146" s="1" t="s">
        <v>41</v>
      </c>
      <c r="D146">
        <v>5</v>
      </c>
      <c r="E146">
        <v>27.7</v>
      </c>
      <c r="F146" s="1" t="s">
        <v>21</v>
      </c>
      <c r="G146" s="1" t="s">
        <v>34</v>
      </c>
      <c r="H146" s="1" t="s">
        <v>23</v>
      </c>
      <c r="I146" s="1" t="s">
        <v>24</v>
      </c>
      <c r="J146" s="1" t="s">
        <v>25</v>
      </c>
      <c r="K146" s="1" t="s">
        <v>26</v>
      </c>
      <c r="L146">
        <v>423</v>
      </c>
      <c r="M146">
        <v>38</v>
      </c>
      <c r="N146" s="1" t="s">
        <v>42</v>
      </c>
      <c r="O146" s="1" t="s">
        <v>37</v>
      </c>
      <c r="P146" s="1" t="s">
        <v>37</v>
      </c>
      <c r="Q146" s="1" t="s">
        <v>26</v>
      </c>
      <c r="R146">
        <v>7.6</v>
      </c>
      <c r="S146" s="1" t="s">
        <v>39</v>
      </c>
    </row>
    <row r="147" spans="1:19" x14ac:dyDescent="0.25">
      <c r="A147">
        <v>572</v>
      </c>
      <c r="B147" s="1" t="s">
        <v>43</v>
      </c>
      <c r="C147" s="1" t="s">
        <v>44</v>
      </c>
      <c r="D147">
        <v>4.7</v>
      </c>
      <c r="E147">
        <v>12.7</v>
      </c>
      <c r="F147" s="1" t="s">
        <v>21</v>
      </c>
      <c r="G147" s="1" t="s">
        <v>45</v>
      </c>
      <c r="H147" s="1" t="s">
        <v>46</v>
      </c>
      <c r="I147" s="1" t="s">
        <v>47</v>
      </c>
      <c r="J147" s="1" t="s">
        <v>25</v>
      </c>
      <c r="K147" s="1" t="s">
        <v>26</v>
      </c>
      <c r="L147">
        <v>450</v>
      </c>
      <c r="M147">
        <v>34</v>
      </c>
      <c r="N147" s="1" t="s">
        <v>28</v>
      </c>
      <c r="O147" s="1" t="s">
        <v>28</v>
      </c>
      <c r="P147" s="1" t="s">
        <v>37</v>
      </c>
      <c r="Q147" s="1" t="s">
        <v>30</v>
      </c>
      <c r="R147">
        <v>7.23</v>
      </c>
      <c r="S147" s="1" t="s">
        <v>31</v>
      </c>
    </row>
    <row r="148" spans="1:19" x14ac:dyDescent="0.25">
      <c r="A148">
        <v>229</v>
      </c>
      <c r="B148" s="1" t="s">
        <v>48</v>
      </c>
      <c r="C148" s="1" t="s">
        <v>49</v>
      </c>
      <c r="D148">
        <v>6.1</v>
      </c>
      <c r="E148">
        <v>16.3</v>
      </c>
      <c r="F148" s="1" t="s">
        <v>21</v>
      </c>
      <c r="G148" s="1" t="s">
        <v>50</v>
      </c>
      <c r="H148" s="1" t="s">
        <v>23</v>
      </c>
      <c r="I148" s="1" t="s">
        <v>24</v>
      </c>
      <c r="J148" s="1" t="s">
        <v>25</v>
      </c>
      <c r="K148" s="1" t="s">
        <v>26</v>
      </c>
      <c r="L148">
        <v>450</v>
      </c>
      <c r="M148">
        <v>43</v>
      </c>
      <c r="N148" s="1" t="s">
        <v>42</v>
      </c>
      <c r="O148" s="1" t="s">
        <v>42</v>
      </c>
      <c r="P148" s="1" t="s">
        <v>37</v>
      </c>
      <c r="Q148" s="1" t="s">
        <v>51</v>
      </c>
      <c r="R148">
        <v>7.05</v>
      </c>
      <c r="S148" s="1" t="s">
        <v>39</v>
      </c>
    </row>
    <row r="149" spans="1:19" x14ac:dyDescent="0.25">
      <c r="A149">
        <v>391</v>
      </c>
      <c r="B149" s="1" t="s">
        <v>52</v>
      </c>
      <c r="C149" s="1" t="s">
        <v>53</v>
      </c>
      <c r="D149">
        <v>5.7</v>
      </c>
      <c r="E149">
        <v>26.7</v>
      </c>
      <c r="F149" s="1" t="s">
        <v>21</v>
      </c>
      <c r="G149" s="1" t="s">
        <v>54</v>
      </c>
      <c r="H149" s="1" t="s">
        <v>23</v>
      </c>
      <c r="I149" s="1" t="s">
        <v>24</v>
      </c>
      <c r="J149" s="1" t="s">
        <v>25</v>
      </c>
      <c r="K149" s="1" t="s">
        <v>26</v>
      </c>
      <c r="L149">
        <v>434</v>
      </c>
      <c r="M149">
        <v>37</v>
      </c>
      <c r="N149" s="1" t="s">
        <v>42</v>
      </c>
      <c r="O149" s="1" t="s">
        <v>37</v>
      </c>
      <c r="P149" s="1" t="s">
        <v>27</v>
      </c>
      <c r="Q149" s="1" t="s">
        <v>30</v>
      </c>
      <c r="R149">
        <v>6.49</v>
      </c>
      <c r="S149" s="1" t="s">
        <v>39</v>
      </c>
    </row>
    <row r="150" spans="1:19" x14ac:dyDescent="0.25">
      <c r="A150">
        <v>279</v>
      </c>
      <c r="B150" s="1" t="s">
        <v>55</v>
      </c>
      <c r="C150" s="1" t="s">
        <v>56</v>
      </c>
      <c r="D150">
        <v>4.2</v>
      </c>
      <c r="E150">
        <v>14</v>
      </c>
      <c r="F150" s="1" t="s">
        <v>21</v>
      </c>
      <c r="G150" s="1" t="s">
        <v>45</v>
      </c>
      <c r="H150" s="1" t="s">
        <v>23</v>
      </c>
      <c r="I150" s="1" t="s">
        <v>24</v>
      </c>
      <c r="J150" s="1" t="s">
        <v>25</v>
      </c>
      <c r="K150" s="1" t="s">
        <v>26</v>
      </c>
      <c r="L150">
        <v>423</v>
      </c>
      <c r="M150">
        <v>27</v>
      </c>
      <c r="N150" s="1" t="s">
        <v>42</v>
      </c>
      <c r="O150" s="1" t="s">
        <v>28</v>
      </c>
      <c r="P150" s="1" t="s">
        <v>37</v>
      </c>
      <c r="Q150" s="1" t="s">
        <v>27</v>
      </c>
      <c r="R150">
        <v>6.43</v>
      </c>
      <c r="S150" s="1" t="s">
        <v>31</v>
      </c>
    </row>
    <row r="151" spans="1:19" x14ac:dyDescent="0.25">
      <c r="A151">
        <v>504</v>
      </c>
      <c r="B151" s="1" t="s">
        <v>57</v>
      </c>
      <c r="C151" s="1" t="s">
        <v>58</v>
      </c>
      <c r="D151">
        <v>5</v>
      </c>
      <c r="E151">
        <v>3.6</v>
      </c>
      <c r="F151" s="1" t="s">
        <v>21</v>
      </c>
      <c r="G151" s="1" t="s">
        <v>34</v>
      </c>
      <c r="H151" s="1" t="s">
        <v>23</v>
      </c>
      <c r="I151" s="1" t="s">
        <v>24</v>
      </c>
      <c r="J151" s="1" t="s">
        <v>25</v>
      </c>
      <c r="K151" s="1" t="s">
        <v>26</v>
      </c>
      <c r="L151">
        <v>437</v>
      </c>
      <c r="M151">
        <v>32</v>
      </c>
      <c r="N151" s="1" t="s">
        <v>42</v>
      </c>
      <c r="O151" s="1" t="s">
        <v>28</v>
      </c>
      <c r="P151" s="1" t="s">
        <v>37</v>
      </c>
      <c r="Q151" s="1" t="s">
        <v>27</v>
      </c>
      <c r="R151">
        <v>6.4</v>
      </c>
      <c r="S151" s="1" t="s">
        <v>39</v>
      </c>
    </row>
    <row r="152" spans="1:19" x14ac:dyDescent="0.25">
      <c r="A152">
        <v>277</v>
      </c>
      <c r="B152" s="1" t="s">
        <v>59</v>
      </c>
      <c r="C152" s="1" t="s">
        <v>60</v>
      </c>
      <c r="D152">
        <v>4.0999999999999996</v>
      </c>
      <c r="E152">
        <v>7</v>
      </c>
      <c r="F152" s="1" t="s">
        <v>21</v>
      </c>
      <c r="G152" s="1" t="s">
        <v>45</v>
      </c>
      <c r="H152" s="1" t="s">
        <v>23</v>
      </c>
      <c r="I152" s="1" t="s">
        <v>24</v>
      </c>
      <c r="J152" s="1" t="s">
        <v>25</v>
      </c>
      <c r="K152" s="1" t="s">
        <v>26</v>
      </c>
      <c r="L152">
        <v>437</v>
      </c>
      <c r="M152">
        <v>26</v>
      </c>
      <c r="N152" s="1" t="s">
        <v>28</v>
      </c>
      <c r="O152" s="1" t="s">
        <v>28</v>
      </c>
      <c r="P152" s="1" t="s">
        <v>37</v>
      </c>
      <c r="Q152" s="1" t="s">
        <v>42</v>
      </c>
      <c r="R152">
        <v>6.34</v>
      </c>
      <c r="S152" s="1" t="s">
        <v>31</v>
      </c>
    </row>
    <row r="153" spans="1:19" x14ac:dyDescent="0.25">
      <c r="A153">
        <v>94</v>
      </c>
      <c r="B153" s="1" t="s">
        <v>61</v>
      </c>
      <c r="C153" s="1" t="s">
        <v>62</v>
      </c>
      <c r="D153">
        <v>6.2</v>
      </c>
      <c r="E153">
        <v>11.3</v>
      </c>
      <c r="F153" s="1" t="s">
        <v>21</v>
      </c>
      <c r="G153" s="1" t="s">
        <v>63</v>
      </c>
      <c r="H153" s="1" t="s">
        <v>35</v>
      </c>
      <c r="I153" s="1" t="s">
        <v>36</v>
      </c>
      <c r="J153" s="1" t="s">
        <v>25</v>
      </c>
      <c r="K153" s="1" t="s">
        <v>26</v>
      </c>
      <c r="L153">
        <v>447</v>
      </c>
      <c r="M153">
        <v>39</v>
      </c>
      <c r="N153" s="1" t="s">
        <v>37</v>
      </c>
      <c r="O153" s="1" t="s">
        <v>27</v>
      </c>
      <c r="P153" s="1" t="s">
        <v>27</v>
      </c>
      <c r="Q153" s="1" t="s">
        <v>30</v>
      </c>
      <c r="R153">
        <v>6.29</v>
      </c>
      <c r="S153" s="1" t="s">
        <v>39</v>
      </c>
    </row>
    <row r="154" spans="1:19" x14ac:dyDescent="0.25">
      <c r="A154">
        <v>305</v>
      </c>
      <c r="B154" s="1" t="s">
        <v>64</v>
      </c>
      <c r="C154" s="1" t="s">
        <v>65</v>
      </c>
      <c r="D154">
        <v>4</v>
      </c>
      <c r="E154">
        <v>6.9</v>
      </c>
      <c r="F154" s="1" t="s">
        <v>21</v>
      </c>
      <c r="G154" s="1" t="s">
        <v>66</v>
      </c>
      <c r="H154" s="1" t="s">
        <v>23</v>
      </c>
      <c r="I154" s="1" t="s">
        <v>24</v>
      </c>
      <c r="J154" s="1" t="s">
        <v>25</v>
      </c>
      <c r="K154" s="1" t="s">
        <v>26</v>
      </c>
      <c r="L154">
        <v>450</v>
      </c>
      <c r="M154">
        <v>25</v>
      </c>
      <c r="N154" s="1" t="s">
        <v>27</v>
      </c>
      <c r="O154" s="1" t="s">
        <v>27</v>
      </c>
      <c r="P154" s="1" t="s">
        <v>28</v>
      </c>
      <c r="Q154" s="1" t="s">
        <v>42</v>
      </c>
      <c r="R154">
        <v>6.25</v>
      </c>
      <c r="S154" s="1" t="s">
        <v>31</v>
      </c>
    </row>
    <row r="155" spans="1:19" x14ac:dyDescent="0.25">
      <c r="A155">
        <v>586</v>
      </c>
      <c r="B155" s="1" t="s">
        <v>67</v>
      </c>
      <c r="C155" s="1" t="s">
        <v>68</v>
      </c>
      <c r="D155">
        <v>4.0999999999999996</v>
      </c>
      <c r="E155">
        <v>6.3</v>
      </c>
      <c r="F155" s="1" t="s">
        <v>21</v>
      </c>
      <c r="G155" s="1" t="s">
        <v>45</v>
      </c>
      <c r="H155" s="1" t="s">
        <v>23</v>
      </c>
      <c r="I155" s="1" t="s">
        <v>24</v>
      </c>
      <c r="J155" s="1" t="s">
        <v>25</v>
      </c>
      <c r="K155" s="1" t="s">
        <v>29</v>
      </c>
      <c r="L155">
        <v>249</v>
      </c>
      <c r="M155">
        <v>25</v>
      </c>
      <c r="N155" s="1" t="s">
        <v>42</v>
      </c>
      <c r="O155" s="1" t="s">
        <v>28</v>
      </c>
      <c r="P155" s="1" t="s">
        <v>27</v>
      </c>
      <c r="Q155" s="1" t="s">
        <v>42</v>
      </c>
      <c r="R155">
        <v>6.1</v>
      </c>
      <c r="S155" s="1" t="s">
        <v>31</v>
      </c>
    </row>
    <row r="156" spans="1:19" x14ac:dyDescent="0.25">
      <c r="A156">
        <v>286</v>
      </c>
      <c r="B156" s="1" t="s">
        <v>69</v>
      </c>
      <c r="C156" s="1" t="s">
        <v>70</v>
      </c>
      <c r="D156">
        <v>5.0999999999999996</v>
      </c>
      <c r="E156">
        <v>5.0999999999999996</v>
      </c>
      <c r="F156" s="1" t="s">
        <v>21</v>
      </c>
      <c r="G156" s="1" t="s">
        <v>45</v>
      </c>
      <c r="H156" s="1" t="s">
        <v>35</v>
      </c>
      <c r="I156" s="1" t="s">
        <v>36</v>
      </c>
      <c r="J156" s="1" t="s">
        <v>25</v>
      </c>
      <c r="K156" s="1" t="s">
        <v>26</v>
      </c>
      <c r="L156">
        <v>394</v>
      </c>
      <c r="M156">
        <v>31</v>
      </c>
      <c r="N156" s="1" t="s">
        <v>27</v>
      </c>
      <c r="O156" s="1" t="s">
        <v>27</v>
      </c>
      <c r="P156" s="1" t="s">
        <v>37</v>
      </c>
      <c r="Q156" s="1" t="s">
        <v>27</v>
      </c>
      <c r="R156">
        <v>6.08</v>
      </c>
      <c r="S156" s="1" t="s">
        <v>39</v>
      </c>
    </row>
    <row r="157" spans="1:19" x14ac:dyDescent="0.25">
      <c r="A157">
        <v>173</v>
      </c>
      <c r="B157" s="1" t="s">
        <v>73</v>
      </c>
      <c r="C157" s="1" t="s">
        <v>74</v>
      </c>
      <c r="D157">
        <v>4</v>
      </c>
      <c r="E157">
        <v>8.6</v>
      </c>
      <c r="F157" s="1" t="s">
        <v>21</v>
      </c>
      <c r="G157" s="1" t="s">
        <v>75</v>
      </c>
      <c r="H157" s="1" t="s">
        <v>23</v>
      </c>
      <c r="I157" s="1" t="s">
        <v>24</v>
      </c>
      <c r="J157" s="1" t="s">
        <v>25</v>
      </c>
      <c r="K157" s="1" t="s">
        <v>26</v>
      </c>
      <c r="L157">
        <v>437</v>
      </c>
      <c r="M157">
        <v>24</v>
      </c>
      <c r="N157" s="1" t="s">
        <v>28</v>
      </c>
      <c r="O157" s="1" t="s">
        <v>28</v>
      </c>
      <c r="P157" s="1" t="s">
        <v>27</v>
      </c>
      <c r="Q157" s="1" t="s">
        <v>37</v>
      </c>
      <c r="R157">
        <v>6</v>
      </c>
      <c r="S157" s="1" t="s">
        <v>31</v>
      </c>
    </row>
    <row r="158" spans="1:19" x14ac:dyDescent="0.25">
      <c r="A158">
        <v>282</v>
      </c>
      <c r="B158" s="1" t="s">
        <v>71</v>
      </c>
      <c r="C158" s="1" t="s">
        <v>72</v>
      </c>
      <c r="D158">
        <v>4</v>
      </c>
      <c r="E158">
        <v>2.9</v>
      </c>
      <c r="F158" s="1" t="s">
        <v>21</v>
      </c>
      <c r="G158" s="1" t="s">
        <v>45</v>
      </c>
      <c r="H158" s="1" t="s">
        <v>23</v>
      </c>
      <c r="I158" s="1" t="s">
        <v>24</v>
      </c>
      <c r="J158" s="1" t="s">
        <v>25</v>
      </c>
      <c r="K158" s="1" t="s">
        <v>26</v>
      </c>
      <c r="L158">
        <v>444</v>
      </c>
      <c r="M158">
        <v>24</v>
      </c>
      <c r="N158" s="1" t="s">
        <v>28</v>
      </c>
      <c r="O158" s="1" t="s">
        <v>42</v>
      </c>
      <c r="P158" s="1" t="s">
        <v>37</v>
      </c>
      <c r="Q158" s="1" t="s">
        <v>27</v>
      </c>
      <c r="R158">
        <v>6</v>
      </c>
      <c r="S158" s="1" t="s">
        <v>31</v>
      </c>
    </row>
    <row r="159" spans="1:19" x14ac:dyDescent="0.25">
      <c r="A159">
        <v>233</v>
      </c>
      <c r="B159" s="1" t="s">
        <v>76</v>
      </c>
      <c r="C159" s="1" t="s">
        <v>77</v>
      </c>
      <c r="D159">
        <v>4.5999999999999996</v>
      </c>
      <c r="E159">
        <v>4.2</v>
      </c>
      <c r="F159" s="1" t="s">
        <v>21</v>
      </c>
      <c r="G159" s="1" t="s">
        <v>50</v>
      </c>
      <c r="H159" s="1" t="s">
        <v>23</v>
      </c>
      <c r="I159" s="1" t="s">
        <v>24</v>
      </c>
      <c r="J159" s="1" t="s">
        <v>25</v>
      </c>
      <c r="K159" s="1" t="s">
        <v>26</v>
      </c>
      <c r="L159">
        <v>450</v>
      </c>
      <c r="M159">
        <v>27</v>
      </c>
      <c r="N159" s="1" t="s">
        <v>28</v>
      </c>
      <c r="O159" s="1" t="s">
        <v>28</v>
      </c>
      <c r="P159" s="1" t="s">
        <v>37</v>
      </c>
      <c r="Q159" s="1" t="s">
        <v>37</v>
      </c>
      <c r="R159">
        <v>5.87</v>
      </c>
      <c r="S159" s="1" t="s">
        <v>31</v>
      </c>
    </row>
    <row r="160" spans="1:19" x14ac:dyDescent="0.25">
      <c r="A160">
        <v>449</v>
      </c>
      <c r="B160" s="1" t="s">
        <v>78</v>
      </c>
      <c r="C160" s="1" t="s">
        <v>79</v>
      </c>
      <c r="D160">
        <v>5.3</v>
      </c>
      <c r="E160">
        <v>17.2</v>
      </c>
      <c r="F160" s="1" t="s">
        <v>21</v>
      </c>
      <c r="G160" s="1" t="s">
        <v>80</v>
      </c>
      <c r="H160" s="1" t="s">
        <v>23</v>
      </c>
      <c r="I160" s="1" t="s">
        <v>24</v>
      </c>
      <c r="J160" s="1" t="s">
        <v>25</v>
      </c>
      <c r="K160" s="1" t="s">
        <v>26</v>
      </c>
      <c r="L160">
        <v>449</v>
      </c>
      <c r="M160">
        <v>31</v>
      </c>
      <c r="N160" s="1" t="s">
        <v>42</v>
      </c>
      <c r="O160" s="1" t="s">
        <v>42</v>
      </c>
      <c r="P160" s="1" t="s">
        <v>42</v>
      </c>
      <c r="Q160" s="1" t="s">
        <v>30</v>
      </c>
      <c r="R160">
        <v>5.85</v>
      </c>
      <c r="S160" s="1" t="s">
        <v>39</v>
      </c>
    </row>
    <row r="161" spans="1:19" x14ac:dyDescent="0.25">
      <c r="A161">
        <v>332</v>
      </c>
      <c r="B161" s="1" t="s">
        <v>81</v>
      </c>
      <c r="C161" s="1" t="s">
        <v>82</v>
      </c>
      <c r="D161">
        <v>4.5</v>
      </c>
      <c r="E161">
        <v>1.5</v>
      </c>
      <c r="F161" s="1" t="s">
        <v>21</v>
      </c>
      <c r="G161" s="1" t="s">
        <v>22</v>
      </c>
      <c r="H161" s="1" t="s">
        <v>23</v>
      </c>
      <c r="I161" s="1" t="s">
        <v>24</v>
      </c>
      <c r="J161" s="1" t="s">
        <v>25</v>
      </c>
      <c r="K161" s="1" t="s">
        <v>26</v>
      </c>
      <c r="L161">
        <v>450</v>
      </c>
      <c r="M161">
        <v>26</v>
      </c>
      <c r="N161" s="1" t="s">
        <v>28</v>
      </c>
      <c r="O161" s="1" t="s">
        <v>28</v>
      </c>
      <c r="P161" s="1" t="s">
        <v>27</v>
      </c>
      <c r="Q161" s="1" t="s">
        <v>29</v>
      </c>
      <c r="R161">
        <v>5.78</v>
      </c>
      <c r="S161" s="1" t="s">
        <v>31</v>
      </c>
    </row>
    <row r="162" spans="1:19" x14ac:dyDescent="0.25">
      <c r="A162">
        <v>385</v>
      </c>
      <c r="B162" s="1" t="s">
        <v>83</v>
      </c>
      <c r="C162" s="1" t="s">
        <v>84</v>
      </c>
      <c r="D162">
        <v>5</v>
      </c>
      <c r="E162">
        <v>5.5</v>
      </c>
      <c r="F162" s="1" t="s">
        <v>21</v>
      </c>
      <c r="G162" s="1" t="s">
        <v>22</v>
      </c>
      <c r="H162" s="1" t="s">
        <v>46</v>
      </c>
      <c r="I162" s="1" t="s">
        <v>47</v>
      </c>
      <c r="J162" s="1" t="s">
        <v>25</v>
      </c>
      <c r="K162" s="1" t="s">
        <v>26</v>
      </c>
      <c r="L162">
        <v>450</v>
      </c>
      <c r="M162">
        <v>28</v>
      </c>
      <c r="N162" s="1" t="s">
        <v>28</v>
      </c>
      <c r="O162" s="1" t="s">
        <v>28</v>
      </c>
      <c r="P162" s="1" t="s">
        <v>27</v>
      </c>
      <c r="Q162" s="1" t="s">
        <v>26</v>
      </c>
      <c r="R162">
        <v>5.6</v>
      </c>
      <c r="S162" s="1" t="s">
        <v>39</v>
      </c>
    </row>
    <row r="163" spans="1:19" x14ac:dyDescent="0.25">
      <c r="A163">
        <v>98</v>
      </c>
      <c r="B163" s="1" t="s">
        <v>85</v>
      </c>
      <c r="C163" s="1" t="s">
        <v>86</v>
      </c>
      <c r="D163">
        <v>5</v>
      </c>
      <c r="E163">
        <v>2.5</v>
      </c>
      <c r="F163" s="1" t="s">
        <v>21</v>
      </c>
      <c r="G163" s="1" t="s">
        <v>63</v>
      </c>
      <c r="H163" s="1" t="s">
        <v>35</v>
      </c>
      <c r="I163" s="1" t="s">
        <v>36</v>
      </c>
      <c r="J163" s="1" t="s">
        <v>25</v>
      </c>
      <c r="K163" s="1" t="s">
        <v>26</v>
      </c>
      <c r="L163">
        <v>450</v>
      </c>
      <c r="M163">
        <v>28</v>
      </c>
      <c r="N163" s="1" t="s">
        <v>27</v>
      </c>
      <c r="O163" s="1" t="s">
        <v>28</v>
      </c>
      <c r="P163" s="1" t="s">
        <v>27</v>
      </c>
      <c r="Q163" s="1" t="s">
        <v>37</v>
      </c>
      <c r="R163">
        <v>5.6</v>
      </c>
      <c r="S163" s="1" t="s">
        <v>39</v>
      </c>
    </row>
    <row r="164" spans="1:19" x14ac:dyDescent="0.25">
      <c r="A164">
        <v>204</v>
      </c>
      <c r="B164" s="1" t="s">
        <v>89</v>
      </c>
      <c r="C164" s="1" t="s">
        <v>90</v>
      </c>
      <c r="D164">
        <v>4.5</v>
      </c>
      <c r="E164">
        <v>6</v>
      </c>
      <c r="F164" s="1" t="s">
        <v>21</v>
      </c>
      <c r="G164" s="1" t="s">
        <v>91</v>
      </c>
      <c r="H164" s="1" t="s">
        <v>23</v>
      </c>
      <c r="I164" s="1" t="s">
        <v>24</v>
      </c>
      <c r="J164" s="1" t="s">
        <v>25</v>
      </c>
      <c r="K164" s="1" t="s">
        <v>26</v>
      </c>
      <c r="L164">
        <v>419</v>
      </c>
      <c r="M164">
        <v>24</v>
      </c>
      <c r="N164" s="1" t="s">
        <v>27</v>
      </c>
      <c r="O164" s="1" t="s">
        <v>28</v>
      </c>
      <c r="P164" s="1" t="s">
        <v>42</v>
      </c>
      <c r="Q164" s="1" t="s">
        <v>37</v>
      </c>
      <c r="R164">
        <v>5.33</v>
      </c>
      <c r="S164" s="1" t="s">
        <v>31</v>
      </c>
    </row>
    <row r="165" spans="1:19" x14ac:dyDescent="0.25">
      <c r="A165">
        <v>68</v>
      </c>
      <c r="B165" s="1" t="s">
        <v>94</v>
      </c>
      <c r="C165" s="1" t="s">
        <v>95</v>
      </c>
      <c r="D165">
        <v>6.1</v>
      </c>
      <c r="E165">
        <v>6.7</v>
      </c>
      <c r="F165" s="1" t="s">
        <v>21</v>
      </c>
      <c r="G165" s="1" t="s">
        <v>96</v>
      </c>
      <c r="H165" s="1" t="s">
        <v>35</v>
      </c>
      <c r="I165" s="1" t="s">
        <v>36</v>
      </c>
      <c r="J165" s="1" t="s">
        <v>25</v>
      </c>
      <c r="K165" s="1" t="s">
        <v>26</v>
      </c>
      <c r="L165">
        <v>424</v>
      </c>
      <c r="M165">
        <v>31</v>
      </c>
      <c r="N165" s="1" t="s">
        <v>37</v>
      </c>
      <c r="O165" s="1" t="s">
        <v>28</v>
      </c>
      <c r="P165" s="1" t="s">
        <v>28</v>
      </c>
      <c r="Q165" s="1" t="s">
        <v>97</v>
      </c>
      <c r="R165">
        <v>5.08</v>
      </c>
      <c r="S165" s="1" t="s">
        <v>39</v>
      </c>
    </row>
    <row r="166" spans="1:19" x14ac:dyDescent="0.25">
      <c r="A166">
        <v>388</v>
      </c>
      <c r="B166" s="1" t="s">
        <v>98</v>
      </c>
      <c r="C166" s="1" t="s">
        <v>99</v>
      </c>
      <c r="D166">
        <v>6</v>
      </c>
      <c r="E166">
        <v>18.2</v>
      </c>
      <c r="F166" s="1" t="s">
        <v>21</v>
      </c>
      <c r="G166" s="1" t="s">
        <v>54</v>
      </c>
      <c r="H166" s="1" t="s">
        <v>23</v>
      </c>
      <c r="I166" s="1" t="s">
        <v>24</v>
      </c>
      <c r="J166" s="1" t="s">
        <v>25</v>
      </c>
      <c r="K166" s="1" t="s">
        <v>26</v>
      </c>
      <c r="L166">
        <v>450</v>
      </c>
      <c r="M166">
        <v>30</v>
      </c>
      <c r="N166" s="1" t="s">
        <v>42</v>
      </c>
      <c r="O166" s="1" t="s">
        <v>42</v>
      </c>
      <c r="P166" s="1" t="s">
        <v>27</v>
      </c>
      <c r="Q166" s="1" t="s">
        <v>29</v>
      </c>
      <c r="R166">
        <v>5</v>
      </c>
      <c r="S166" s="1" t="s">
        <v>39</v>
      </c>
    </row>
    <row r="167" spans="1:19" x14ac:dyDescent="0.25">
      <c r="A167">
        <v>138</v>
      </c>
      <c r="B167" s="1" t="s">
        <v>105</v>
      </c>
      <c r="C167" s="1" t="s">
        <v>106</v>
      </c>
      <c r="D167">
        <v>5.6</v>
      </c>
      <c r="E167">
        <v>3.9</v>
      </c>
      <c r="F167" s="1" t="s">
        <v>21</v>
      </c>
      <c r="G167" s="1" t="s">
        <v>34</v>
      </c>
      <c r="H167" s="1" t="s">
        <v>107</v>
      </c>
      <c r="I167" s="1" t="s">
        <v>108</v>
      </c>
      <c r="J167" s="1" t="s">
        <v>25</v>
      </c>
      <c r="K167" s="1" t="s">
        <v>26</v>
      </c>
      <c r="L167">
        <v>353</v>
      </c>
      <c r="M167">
        <v>28</v>
      </c>
      <c r="N167" s="1" t="s">
        <v>27</v>
      </c>
      <c r="O167" s="1" t="s">
        <v>37</v>
      </c>
      <c r="P167" s="1" t="s">
        <v>27</v>
      </c>
      <c r="Q167" s="1" t="s">
        <v>37</v>
      </c>
      <c r="R167">
        <v>5</v>
      </c>
      <c r="S167" s="1" t="s">
        <v>39</v>
      </c>
    </row>
    <row r="168" spans="1:19" x14ac:dyDescent="0.25">
      <c r="A168">
        <v>176</v>
      </c>
      <c r="B168" s="1" t="s">
        <v>109</v>
      </c>
      <c r="C168" s="1" t="s">
        <v>110</v>
      </c>
      <c r="D168">
        <v>4</v>
      </c>
      <c r="E168">
        <v>0.7</v>
      </c>
      <c r="F168" s="1" t="s">
        <v>21</v>
      </c>
      <c r="G168" s="1" t="s">
        <v>75</v>
      </c>
      <c r="H168" s="1" t="s">
        <v>23</v>
      </c>
      <c r="I168" s="1" t="s">
        <v>24</v>
      </c>
      <c r="J168" s="1" t="s">
        <v>25</v>
      </c>
      <c r="K168" s="1" t="s">
        <v>26</v>
      </c>
      <c r="L168">
        <v>444</v>
      </c>
      <c r="M168">
        <v>20</v>
      </c>
      <c r="N168" s="1" t="s">
        <v>42</v>
      </c>
      <c r="O168" s="1" t="s">
        <v>28</v>
      </c>
      <c r="P168" s="1" t="s">
        <v>42</v>
      </c>
      <c r="Q168" s="1" t="s">
        <v>37</v>
      </c>
      <c r="R168">
        <v>5</v>
      </c>
      <c r="S168" s="1" t="s">
        <v>31</v>
      </c>
    </row>
    <row r="169" spans="1:19" x14ac:dyDescent="0.25">
      <c r="A169">
        <v>8</v>
      </c>
      <c r="B169" s="1" t="s">
        <v>102</v>
      </c>
      <c r="C169" s="1" t="s">
        <v>103</v>
      </c>
      <c r="D169">
        <v>5.8</v>
      </c>
      <c r="E169">
        <v>50.5</v>
      </c>
      <c r="F169" s="1" t="s">
        <v>21</v>
      </c>
      <c r="G169" s="1" t="s">
        <v>104</v>
      </c>
      <c r="H169" s="1" t="s">
        <v>23</v>
      </c>
      <c r="I169" s="1" t="s">
        <v>24</v>
      </c>
      <c r="J169" s="1" t="s">
        <v>25</v>
      </c>
      <c r="K169" s="1" t="s">
        <v>26</v>
      </c>
      <c r="L169">
        <v>416</v>
      </c>
      <c r="M169">
        <v>29</v>
      </c>
      <c r="N169" s="1" t="s">
        <v>28</v>
      </c>
      <c r="O169" s="1" t="s">
        <v>27</v>
      </c>
      <c r="P169" s="1" t="s">
        <v>37</v>
      </c>
      <c r="Q169" s="1" t="s">
        <v>27</v>
      </c>
      <c r="R169">
        <v>5</v>
      </c>
      <c r="S169" s="1" t="s">
        <v>39</v>
      </c>
    </row>
    <row r="170" spans="1:19" x14ac:dyDescent="0.25">
      <c r="A170">
        <v>88</v>
      </c>
      <c r="B170" s="1" t="s">
        <v>100</v>
      </c>
      <c r="C170" s="1" t="s">
        <v>101</v>
      </c>
      <c r="D170">
        <v>4.5999999999999996</v>
      </c>
      <c r="E170">
        <v>7.6</v>
      </c>
      <c r="F170" s="1" t="s">
        <v>21</v>
      </c>
      <c r="G170" s="1" t="s">
        <v>63</v>
      </c>
      <c r="H170" s="1" t="s">
        <v>23</v>
      </c>
      <c r="I170" s="1" t="s">
        <v>24</v>
      </c>
      <c r="J170" s="1" t="s">
        <v>25</v>
      </c>
      <c r="K170" s="1" t="s">
        <v>26</v>
      </c>
      <c r="L170">
        <v>294</v>
      </c>
      <c r="M170">
        <v>23</v>
      </c>
      <c r="N170" s="1" t="s">
        <v>42</v>
      </c>
      <c r="O170" s="1" t="s">
        <v>28</v>
      </c>
      <c r="P170" s="1" t="s">
        <v>27</v>
      </c>
      <c r="Q170" s="1" t="s">
        <v>42</v>
      </c>
      <c r="R170">
        <v>5</v>
      </c>
      <c r="S170" s="1" t="s">
        <v>31</v>
      </c>
    </row>
    <row r="171" spans="1:19" x14ac:dyDescent="0.25">
      <c r="A171">
        <v>69</v>
      </c>
      <c r="B171" s="1" t="s">
        <v>111</v>
      </c>
      <c r="C171" s="1" t="s">
        <v>112</v>
      </c>
      <c r="D171">
        <v>6.1</v>
      </c>
      <c r="E171">
        <v>5.8</v>
      </c>
      <c r="F171" s="1" t="s">
        <v>21</v>
      </c>
      <c r="G171" s="1" t="s">
        <v>96</v>
      </c>
      <c r="H171" s="1" t="s">
        <v>35</v>
      </c>
      <c r="I171" s="1" t="s">
        <v>36</v>
      </c>
      <c r="J171" s="1" t="s">
        <v>25</v>
      </c>
      <c r="K171" s="1" t="s">
        <v>26</v>
      </c>
      <c r="L171">
        <v>446</v>
      </c>
      <c r="M171">
        <v>30</v>
      </c>
      <c r="N171" s="1" t="s">
        <v>42</v>
      </c>
      <c r="O171" s="1" t="s">
        <v>27</v>
      </c>
      <c r="P171" s="1" t="s">
        <v>42</v>
      </c>
      <c r="Q171" s="1" t="s">
        <v>26</v>
      </c>
      <c r="R171">
        <v>4.92</v>
      </c>
      <c r="S171" s="1" t="s">
        <v>39</v>
      </c>
    </row>
    <row r="172" spans="1:19" x14ac:dyDescent="0.25">
      <c r="A172">
        <v>1</v>
      </c>
      <c r="B172" s="1" t="s">
        <v>113</v>
      </c>
      <c r="C172" s="1" t="s">
        <v>114</v>
      </c>
      <c r="D172">
        <v>6.1</v>
      </c>
      <c r="E172">
        <v>42.2</v>
      </c>
      <c r="F172" s="1" t="s">
        <v>21</v>
      </c>
      <c r="G172" s="1" t="s">
        <v>104</v>
      </c>
      <c r="H172" s="1" t="s">
        <v>46</v>
      </c>
      <c r="I172" s="1" t="s">
        <v>47</v>
      </c>
      <c r="J172" s="1" t="s">
        <v>25</v>
      </c>
      <c r="K172" s="1" t="s">
        <v>26</v>
      </c>
      <c r="L172">
        <v>450</v>
      </c>
      <c r="M172">
        <v>30</v>
      </c>
      <c r="N172" s="1" t="s">
        <v>28</v>
      </c>
      <c r="O172" s="1" t="s">
        <v>28</v>
      </c>
      <c r="P172" s="1" t="s">
        <v>37</v>
      </c>
      <c r="Q172" s="1" t="s">
        <v>37</v>
      </c>
      <c r="R172">
        <v>4.92</v>
      </c>
      <c r="S172" s="1" t="s">
        <v>39</v>
      </c>
    </row>
    <row r="173" spans="1:19" x14ac:dyDescent="0.25">
      <c r="A173">
        <v>350</v>
      </c>
      <c r="B173" s="1" t="s">
        <v>115</v>
      </c>
      <c r="C173" s="1" t="s">
        <v>116</v>
      </c>
      <c r="D173">
        <v>5.5</v>
      </c>
      <c r="E173">
        <v>4</v>
      </c>
      <c r="F173" s="1" t="s">
        <v>21</v>
      </c>
      <c r="G173" s="1" t="s">
        <v>117</v>
      </c>
      <c r="H173" s="1" t="s">
        <v>46</v>
      </c>
      <c r="I173" s="1" t="s">
        <v>47</v>
      </c>
      <c r="J173" s="1" t="s">
        <v>25</v>
      </c>
      <c r="K173" s="1" t="s">
        <v>26</v>
      </c>
      <c r="L173">
        <v>450</v>
      </c>
      <c r="M173">
        <v>27</v>
      </c>
      <c r="N173" s="1" t="s">
        <v>28</v>
      </c>
      <c r="O173" s="1" t="s">
        <v>28</v>
      </c>
      <c r="P173" s="1" t="s">
        <v>37</v>
      </c>
      <c r="Q173" s="1" t="s">
        <v>26</v>
      </c>
      <c r="R173">
        <v>4.91</v>
      </c>
      <c r="S173" s="1" t="s">
        <v>39</v>
      </c>
    </row>
    <row r="174" spans="1:19" x14ac:dyDescent="0.25">
      <c r="A174">
        <v>112</v>
      </c>
      <c r="B174" s="1" t="s">
        <v>120</v>
      </c>
      <c r="C174" s="1" t="s">
        <v>121</v>
      </c>
      <c r="D174">
        <v>4.9000000000000004</v>
      </c>
      <c r="E174">
        <v>6.6</v>
      </c>
      <c r="F174" s="1" t="s">
        <v>21</v>
      </c>
      <c r="G174" s="1" t="s">
        <v>122</v>
      </c>
      <c r="H174" s="1" t="s">
        <v>23</v>
      </c>
      <c r="I174" s="1" t="s">
        <v>24</v>
      </c>
      <c r="J174" s="1" t="s">
        <v>25</v>
      </c>
      <c r="K174" s="1" t="s">
        <v>26</v>
      </c>
      <c r="L174">
        <v>450</v>
      </c>
      <c r="M174">
        <v>24</v>
      </c>
      <c r="N174" s="1" t="s">
        <v>42</v>
      </c>
      <c r="O174" s="1" t="s">
        <v>28</v>
      </c>
      <c r="P174" s="1" t="s">
        <v>27</v>
      </c>
      <c r="Q174" s="1" t="s">
        <v>27</v>
      </c>
      <c r="R174">
        <v>4.9000000000000004</v>
      </c>
      <c r="S174" s="1" t="s">
        <v>31</v>
      </c>
    </row>
    <row r="175" spans="1:19" x14ac:dyDescent="0.25">
      <c r="A175">
        <v>116</v>
      </c>
      <c r="B175" s="1" t="s">
        <v>123</v>
      </c>
      <c r="C175" s="1" t="s">
        <v>124</v>
      </c>
      <c r="D175">
        <v>4.5</v>
      </c>
      <c r="E175">
        <v>1.5</v>
      </c>
      <c r="F175" s="1" t="s">
        <v>125</v>
      </c>
      <c r="G175" s="1" t="s">
        <v>34</v>
      </c>
      <c r="H175" s="1" t="s">
        <v>23</v>
      </c>
      <c r="I175" s="1" t="s">
        <v>24</v>
      </c>
      <c r="J175" s="1" t="s">
        <v>25</v>
      </c>
      <c r="K175" s="1" t="s">
        <v>29</v>
      </c>
      <c r="L175">
        <v>360</v>
      </c>
      <c r="M175">
        <v>22</v>
      </c>
      <c r="N175" s="1" t="s">
        <v>42</v>
      </c>
      <c r="O175" s="1" t="s">
        <v>28</v>
      </c>
      <c r="P175" s="1" t="s">
        <v>27</v>
      </c>
      <c r="Q175" s="1" t="s">
        <v>42</v>
      </c>
      <c r="R175">
        <v>4.8899999999999997</v>
      </c>
      <c r="S175" s="1" t="s">
        <v>31</v>
      </c>
    </row>
    <row r="176" spans="1:19" x14ac:dyDescent="0.25">
      <c r="A176">
        <v>362</v>
      </c>
      <c r="B176" s="1" t="s">
        <v>126</v>
      </c>
      <c r="C176" s="1" t="s">
        <v>127</v>
      </c>
      <c r="D176">
        <v>5</v>
      </c>
      <c r="E176">
        <v>3.5</v>
      </c>
      <c r="F176" s="1" t="s">
        <v>21</v>
      </c>
      <c r="G176" s="1" t="s">
        <v>117</v>
      </c>
      <c r="H176" s="1" t="s">
        <v>23</v>
      </c>
      <c r="I176" s="1" t="s">
        <v>24</v>
      </c>
      <c r="J176" s="1" t="s">
        <v>25</v>
      </c>
      <c r="K176" s="1" t="s">
        <v>26</v>
      </c>
      <c r="L176">
        <v>415</v>
      </c>
      <c r="M176">
        <v>24</v>
      </c>
      <c r="N176" s="1" t="s">
        <v>28</v>
      </c>
      <c r="O176" s="1" t="s">
        <v>28</v>
      </c>
      <c r="P176" s="1" t="s">
        <v>37</v>
      </c>
      <c r="Q176" s="1" t="s">
        <v>37</v>
      </c>
      <c r="R176">
        <v>4.8</v>
      </c>
      <c r="S176" s="1" t="s">
        <v>39</v>
      </c>
    </row>
    <row r="177" spans="1:19" x14ac:dyDescent="0.25">
      <c r="A177">
        <v>316</v>
      </c>
      <c r="B177" s="1" t="s">
        <v>130</v>
      </c>
      <c r="C177" s="1" t="s">
        <v>131</v>
      </c>
      <c r="D177">
        <v>5.5</v>
      </c>
      <c r="E177">
        <v>3.5</v>
      </c>
      <c r="F177" s="1" t="s">
        <v>21</v>
      </c>
      <c r="G177" s="1" t="s">
        <v>66</v>
      </c>
      <c r="H177" s="1" t="s">
        <v>107</v>
      </c>
      <c r="I177" s="1" t="s">
        <v>108</v>
      </c>
      <c r="J177" s="1" t="s">
        <v>25</v>
      </c>
      <c r="K177" s="1" t="s">
        <v>26</v>
      </c>
      <c r="L177">
        <v>317</v>
      </c>
      <c r="M177">
        <v>26</v>
      </c>
      <c r="N177" s="1" t="s">
        <v>27</v>
      </c>
      <c r="O177" s="1" t="s">
        <v>42</v>
      </c>
      <c r="P177" s="1" t="s">
        <v>28</v>
      </c>
      <c r="Q177" s="1" t="s">
        <v>30</v>
      </c>
      <c r="R177">
        <v>4.7300000000000004</v>
      </c>
      <c r="S177" s="1" t="s">
        <v>39</v>
      </c>
    </row>
    <row r="178" spans="1:19" x14ac:dyDescent="0.25">
      <c r="A178">
        <v>87</v>
      </c>
      <c r="B178" s="1" t="s">
        <v>134</v>
      </c>
      <c r="C178" s="1" t="s">
        <v>135</v>
      </c>
      <c r="D178">
        <v>4.5</v>
      </c>
      <c r="E178">
        <v>3.9</v>
      </c>
      <c r="F178" s="1" t="s">
        <v>21</v>
      </c>
      <c r="G178" s="1" t="s">
        <v>63</v>
      </c>
      <c r="H178" s="1" t="s">
        <v>23</v>
      </c>
      <c r="I178" s="1" t="s">
        <v>24</v>
      </c>
      <c r="J178" s="1" t="s">
        <v>25</v>
      </c>
      <c r="K178" s="1" t="s">
        <v>26</v>
      </c>
      <c r="L178">
        <v>450</v>
      </c>
      <c r="M178">
        <v>21</v>
      </c>
      <c r="N178" s="1" t="s">
        <v>28</v>
      </c>
      <c r="O178" s="1" t="s">
        <v>28</v>
      </c>
      <c r="P178" s="1" t="s">
        <v>27</v>
      </c>
      <c r="Q178" s="1" t="s">
        <v>42</v>
      </c>
      <c r="R178">
        <v>4.67</v>
      </c>
      <c r="S178" s="1" t="s">
        <v>31</v>
      </c>
    </row>
    <row r="179" spans="1:19" x14ac:dyDescent="0.25">
      <c r="A179">
        <v>93</v>
      </c>
      <c r="B179" s="1" t="s">
        <v>132</v>
      </c>
      <c r="C179" s="1" t="s">
        <v>133</v>
      </c>
      <c r="D179">
        <v>4.5</v>
      </c>
      <c r="E179">
        <v>0.3</v>
      </c>
      <c r="F179" s="1" t="s">
        <v>21</v>
      </c>
      <c r="G179" s="1" t="s">
        <v>63</v>
      </c>
      <c r="H179" s="1" t="s">
        <v>23</v>
      </c>
      <c r="I179" s="1" t="s">
        <v>24</v>
      </c>
      <c r="J179" s="1" t="s">
        <v>25</v>
      </c>
      <c r="K179" s="1" t="s">
        <v>37</v>
      </c>
      <c r="L179">
        <v>253</v>
      </c>
      <c r="M179">
        <v>21</v>
      </c>
      <c r="N179" s="1" t="s">
        <v>28</v>
      </c>
      <c r="O179" s="1" t="s">
        <v>42</v>
      </c>
      <c r="P179" s="1" t="s">
        <v>42</v>
      </c>
      <c r="Q179" s="1" t="s">
        <v>37</v>
      </c>
      <c r="R179">
        <v>4.67</v>
      </c>
      <c r="S179" s="1" t="s">
        <v>31</v>
      </c>
    </row>
    <row r="180" spans="1:19" x14ac:dyDescent="0.25">
      <c r="A180">
        <v>453</v>
      </c>
      <c r="B180" s="1" t="s">
        <v>136</v>
      </c>
      <c r="C180" s="1" t="s">
        <v>137</v>
      </c>
      <c r="D180">
        <v>6.1</v>
      </c>
      <c r="E180">
        <v>5.6</v>
      </c>
      <c r="F180" s="1" t="s">
        <v>21</v>
      </c>
      <c r="G180" s="1" t="s">
        <v>80</v>
      </c>
      <c r="H180" s="1" t="s">
        <v>35</v>
      </c>
      <c r="I180" s="1" t="s">
        <v>36</v>
      </c>
      <c r="J180" s="1" t="s">
        <v>25</v>
      </c>
      <c r="K180" s="1" t="s">
        <v>26</v>
      </c>
      <c r="L180">
        <v>450</v>
      </c>
      <c r="M180">
        <v>28</v>
      </c>
      <c r="N180" s="1" t="s">
        <v>42</v>
      </c>
      <c r="O180" s="1" t="s">
        <v>37</v>
      </c>
      <c r="P180" s="1" t="s">
        <v>42</v>
      </c>
      <c r="Q180" s="1" t="s">
        <v>37</v>
      </c>
      <c r="R180">
        <v>4.59</v>
      </c>
      <c r="S180" s="1" t="s">
        <v>39</v>
      </c>
    </row>
    <row r="181" spans="1:19" x14ac:dyDescent="0.25">
      <c r="A181">
        <v>226</v>
      </c>
      <c r="B181" s="1" t="s">
        <v>138</v>
      </c>
      <c r="C181" s="1" t="s">
        <v>139</v>
      </c>
      <c r="D181">
        <v>5.5</v>
      </c>
      <c r="E181">
        <v>9.1</v>
      </c>
      <c r="F181" s="1" t="s">
        <v>21</v>
      </c>
      <c r="G181" s="1" t="s">
        <v>50</v>
      </c>
      <c r="H181" s="1" t="s">
        <v>46</v>
      </c>
      <c r="I181" s="1" t="s">
        <v>47</v>
      </c>
      <c r="J181" s="1" t="s">
        <v>25</v>
      </c>
      <c r="K181" s="1" t="s">
        <v>26</v>
      </c>
      <c r="L181">
        <v>450</v>
      </c>
      <c r="M181">
        <v>25</v>
      </c>
      <c r="N181" s="1" t="s">
        <v>28</v>
      </c>
      <c r="O181" s="1" t="s">
        <v>28</v>
      </c>
      <c r="P181" s="1" t="s">
        <v>37</v>
      </c>
      <c r="Q181" s="1" t="s">
        <v>42</v>
      </c>
      <c r="R181">
        <v>4.55</v>
      </c>
      <c r="S181" s="1" t="s">
        <v>39</v>
      </c>
    </row>
    <row r="182" spans="1:19" x14ac:dyDescent="0.25">
      <c r="A182">
        <v>335</v>
      </c>
      <c r="B182" s="1" t="s">
        <v>140</v>
      </c>
      <c r="C182" s="1" t="s">
        <v>141</v>
      </c>
      <c r="D182">
        <v>6</v>
      </c>
      <c r="E182">
        <v>2.5</v>
      </c>
      <c r="F182" s="1" t="s">
        <v>21</v>
      </c>
      <c r="G182" s="1" t="s">
        <v>22</v>
      </c>
      <c r="H182" s="1" t="s">
        <v>35</v>
      </c>
      <c r="I182" s="1" t="s">
        <v>36</v>
      </c>
      <c r="J182" s="1" t="s">
        <v>25</v>
      </c>
      <c r="K182" s="1" t="s">
        <v>26</v>
      </c>
      <c r="L182">
        <v>447</v>
      </c>
      <c r="M182">
        <v>27</v>
      </c>
      <c r="N182" s="1" t="s">
        <v>42</v>
      </c>
      <c r="O182" s="1" t="s">
        <v>28</v>
      </c>
      <c r="P182" s="1" t="s">
        <v>37</v>
      </c>
      <c r="Q182" s="1" t="s">
        <v>37</v>
      </c>
      <c r="R182">
        <v>4.5</v>
      </c>
      <c r="S182" s="1" t="s">
        <v>39</v>
      </c>
    </row>
    <row r="183" spans="1:19" x14ac:dyDescent="0.25">
      <c r="A183">
        <v>367</v>
      </c>
      <c r="B183" s="1" t="s">
        <v>144</v>
      </c>
      <c r="C183" s="1" t="s">
        <v>145</v>
      </c>
      <c r="D183">
        <v>7.2</v>
      </c>
      <c r="E183">
        <v>12.6</v>
      </c>
      <c r="F183" s="1" t="s">
        <v>21</v>
      </c>
      <c r="G183" s="1" t="s">
        <v>117</v>
      </c>
      <c r="H183" s="1" t="s">
        <v>35</v>
      </c>
      <c r="I183" s="1" t="s">
        <v>36</v>
      </c>
      <c r="J183" s="1" t="s">
        <v>25</v>
      </c>
      <c r="K183" s="1" t="s">
        <v>26</v>
      </c>
      <c r="L183">
        <v>370</v>
      </c>
      <c r="M183">
        <v>32</v>
      </c>
      <c r="N183" s="1" t="s">
        <v>42</v>
      </c>
      <c r="O183" s="1" t="s">
        <v>37</v>
      </c>
      <c r="P183" s="1" t="s">
        <v>27</v>
      </c>
      <c r="Q183" s="1" t="s">
        <v>26</v>
      </c>
      <c r="R183">
        <v>4.4400000000000004</v>
      </c>
      <c r="S183" s="1" t="s">
        <v>146</v>
      </c>
    </row>
    <row r="184" spans="1:19" x14ac:dyDescent="0.25">
      <c r="A184">
        <v>605</v>
      </c>
      <c r="B184" s="1" t="s">
        <v>142</v>
      </c>
      <c r="C184" s="1" t="s">
        <v>143</v>
      </c>
      <c r="D184">
        <v>4.5</v>
      </c>
      <c r="E184">
        <v>4</v>
      </c>
      <c r="F184" s="1" t="s">
        <v>21</v>
      </c>
      <c r="G184" s="1" t="s">
        <v>34</v>
      </c>
      <c r="H184" s="1" t="s">
        <v>35</v>
      </c>
      <c r="I184" s="1" t="s">
        <v>36</v>
      </c>
      <c r="J184" s="1" t="s">
        <v>25</v>
      </c>
      <c r="K184" s="1" t="s">
        <v>26</v>
      </c>
      <c r="L184">
        <v>236</v>
      </c>
      <c r="M184">
        <v>20</v>
      </c>
      <c r="N184" s="1" t="s">
        <v>27</v>
      </c>
      <c r="O184" s="1" t="s">
        <v>28</v>
      </c>
      <c r="P184" s="1" t="s">
        <v>42</v>
      </c>
      <c r="Q184" s="1" t="s">
        <v>42</v>
      </c>
      <c r="R184">
        <v>4.4400000000000004</v>
      </c>
      <c r="S184" s="1" t="s">
        <v>31</v>
      </c>
    </row>
    <row r="185" spans="1:19" x14ac:dyDescent="0.25">
      <c r="A185">
        <v>460</v>
      </c>
      <c r="B185" s="1" t="s">
        <v>150</v>
      </c>
      <c r="C185" s="1" t="s">
        <v>151</v>
      </c>
      <c r="D185">
        <v>5</v>
      </c>
      <c r="E185">
        <v>0.6</v>
      </c>
      <c r="F185" s="1" t="s">
        <v>21</v>
      </c>
      <c r="G185" s="1" t="s">
        <v>80</v>
      </c>
      <c r="H185" s="1" t="s">
        <v>35</v>
      </c>
      <c r="I185" s="1" t="s">
        <v>36</v>
      </c>
      <c r="J185" s="1" t="s">
        <v>25</v>
      </c>
      <c r="K185" s="1" t="s">
        <v>26</v>
      </c>
      <c r="L185">
        <v>284</v>
      </c>
      <c r="M185">
        <v>22</v>
      </c>
      <c r="N185" s="1" t="s">
        <v>27</v>
      </c>
      <c r="O185" s="1" t="s">
        <v>28</v>
      </c>
      <c r="P185" s="1" t="s">
        <v>42</v>
      </c>
      <c r="Q185" s="1" t="s">
        <v>37</v>
      </c>
      <c r="R185">
        <v>4.4000000000000004</v>
      </c>
      <c r="S185" s="1" t="s">
        <v>39</v>
      </c>
    </row>
    <row r="186" spans="1:19" x14ac:dyDescent="0.25">
      <c r="A186">
        <v>399</v>
      </c>
      <c r="B186" s="1" t="s">
        <v>152</v>
      </c>
      <c r="C186" s="1" t="s">
        <v>153</v>
      </c>
      <c r="D186">
        <v>7.8</v>
      </c>
      <c r="E186">
        <v>28.4</v>
      </c>
      <c r="F186" s="1" t="s">
        <v>21</v>
      </c>
      <c r="G186" s="1" t="s">
        <v>54</v>
      </c>
      <c r="H186" s="1" t="s">
        <v>35</v>
      </c>
      <c r="I186" s="1" t="s">
        <v>36</v>
      </c>
      <c r="J186" s="1" t="s">
        <v>25</v>
      </c>
      <c r="K186" s="1" t="s">
        <v>26</v>
      </c>
      <c r="L186">
        <v>302</v>
      </c>
      <c r="M186">
        <v>34</v>
      </c>
      <c r="N186" s="1" t="s">
        <v>37</v>
      </c>
      <c r="O186" s="1" t="s">
        <v>27</v>
      </c>
      <c r="P186" s="1" t="s">
        <v>42</v>
      </c>
      <c r="Q186" s="1" t="s">
        <v>26</v>
      </c>
      <c r="R186">
        <v>4.3600000000000003</v>
      </c>
      <c r="S186" s="1" t="s">
        <v>146</v>
      </c>
    </row>
    <row r="187" spans="1:19" x14ac:dyDescent="0.25">
      <c r="A187">
        <v>268</v>
      </c>
      <c r="B187" s="1" t="s">
        <v>154</v>
      </c>
      <c r="C187" s="1" t="s">
        <v>155</v>
      </c>
      <c r="D187">
        <v>5.5</v>
      </c>
      <c r="E187">
        <v>2.5</v>
      </c>
      <c r="F187" s="1" t="s">
        <v>21</v>
      </c>
      <c r="G187" s="1" t="s">
        <v>149</v>
      </c>
      <c r="H187" s="1" t="s">
        <v>35</v>
      </c>
      <c r="I187" s="1" t="s">
        <v>36</v>
      </c>
      <c r="J187" s="1" t="s">
        <v>25</v>
      </c>
      <c r="K187" s="1" t="s">
        <v>26</v>
      </c>
      <c r="L187">
        <v>425</v>
      </c>
      <c r="M187">
        <v>24</v>
      </c>
      <c r="N187" s="1" t="s">
        <v>27</v>
      </c>
      <c r="O187" s="1" t="s">
        <v>28</v>
      </c>
      <c r="P187" s="1" t="s">
        <v>27</v>
      </c>
      <c r="Q187" s="1" t="s">
        <v>37</v>
      </c>
      <c r="R187">
        <v>4.3600000000000003</v>
      </c>
      <c r="S187" s="1" t="s">
        <v>39</v>
      </c>
    </row>
    <row r="188" spans="1:19" x14ac:dyDescent="0.25">
      <c r="A188">
        <v>165</v>
      </c>
      <c r="B188" s="1" t="s">
        <v>156</v>
      </c>
      <c r="C188" s="1" t="s">
        <v>157</v>
      </c>
      <c r="D188">
        <v>7.7</v>
      </c>
      <c r="E188">
        <v>65.3</v>
      </c>
      <c r="F188" s="1" t="s">
        <v>125</v>
      </c>
      <c r="G188" s="1" t="s">
        <v>158</v>
      </c>
      <c r="H188" s="1" t="s">
        <v>107</v>
      </c>
      <c r="I188" s="1" t="s">
        <v>108</v>
      </c>
      <c r="J188" s="1" t="s">
        <v>25</v>
      </c>
      <c r="K188" s="1" t="s">
        <v>29</v>
      </c>
      <c r="L188">
        <v>360</v>
      </c>
      <c r="M188">
        <v>33</v>
      </c>
      <c r="N188" s="1" t="s">
        <v>37</v>
      </c>
      <c r="O188" s="1" t="s">
        <v>37</v>
      </c>
      <c r="P188" s="1" t="s">
        <v>28</v>
      </c>
      <c r="Q188" s="1" t="s">
        <v>51</v>
      </c>
      <c r="R188">
        <v>4.29</v>
      </c>
      <c r="S188" s="1" t="s">
        <v>146</v>
      </c>
    </row>
    <row r="189" spans="1:19" x14ac:dyDescent="0.25">
      <c r="A189">
        <v>15</v>
      </c>
      <c r="B189" s="1" t="s">
        <v>159</v>
      </c>
      <c r="C189" s="1" t="s">
        <v>160</v>
      </c>
      <c r="D189">
        <v>6.8</v>
      </c>
      <c r="E189">
        <v>19.8</v>
      </c>
      <c r="F189" s="1" t="s">
        <v>21</v>
      </c>
      <c r="G189" s="1" t="s">
        <v>104</v>
      </c>
      <c r="H189" s="1" t="s">
        <v>35</v>
      </c>
      <c r="I189" s="1" t="s">
        <v>36</v>
      </c>
      <c r="J189" s="1" t="s">
        <v>25</v>
      </c>
      <c r="K189" s="1" t="s">
        <v>26</v>
      </c>
      <c r="L189">
        <v>377</v>
      </c>
      <c r="M189">
        <v>29</v>
      </c>
      <c r="N189" s="1" t="s">
        <v>27</v>
      </c>
      <c r="O189" s="1" t="s">
        <v>28</v>
      </c>
      <c r="P189" s="1" t="s">
        <v>37</v>
      </c>
      <c r="Q189" s="1" t="s">
        <v>30</v>
      </c>
      <c r="R189">
        <v>4.26</v>
      </c>
      <c r="S189" s="1" t="s">
        <v>39</v>
      </c>
    </row>
    <row r="190" spans="1:19" x14ac:dyDescent="0.25">
      <c r="A190">
        <v>552</v>
      </c>
      <c r="B190" s="1" t="s">
        <v>163</v>
      </c>
      <c r="C190" s="1" t="s">
        <v>164</v>
      </c>
      <c r="D190">
        <v>5.7</v>
      </c>
      <c r="E190">
        <v>7</v>
      </c>
      <c r="F190" s="1" t="s">
        <v>125</v>
      </c>
      <c r="G190" s="1" t="s">
        <v>165</v>
      </c>
      <c r="H190" s="1" t="s">
        <v>107</v>
      </c>
      <c r="I190" s="1" t="s">
        <v>108</v>
      </c>
      <c r="J190" s="1" t="s">
        <v>25</v>
      </c>
      <c r="K190" s="1" t="s">
        <v>26</v>
      </c>
      <c r="L190">
        <v>399</v>
      </c>
      <c r="M190">
        <v>24</v>
      </c>
      <c r="N190" s="1" t="s">
        <v>37</v>
      </c>
      <c r="O190" s="1" t="s">
        <v>28</v>
      </c>
      <c r="P190" s="1" t="s">
        <v>42</v>
      </c>
      <c r="Q190" s="1" t="s">
        <v>37</v>
      </c>
      <c r="R190">
        <v>4.21</v>
      </c>
      <c r="S190" s="1" t="s">
        <v>39</v>
      </c>
    </row>
    <row r="191" spans="1:19" x14ac:dyDescent="0.25">
      <c r="A191">
        <v>579</v>
      </c>
      <c r="B191" s="1" t="s">
        <v>171</v>
      </c>
      <c r="C191" s="1" t="s">
        <v>172</v>
      </c>
      <c r="D191">
        <v>5.4</v>
      </c>
      <c r="E191">
        <v>3</v>
      </c>
      <c r="F191" s="1" t="s">
        <v>21</v>
      </c>
      <c r="G191" s="1" t="s">
        <v>117</v>
      </c>
      <c r="H191" s="1" t="s">
        <v>23</v>
      </c>
      <c r="I191" s="1" t="s">
        <v>24</v>
      </c>
      <c r="J191" s="1" t="s">
        <v>25</v>
      </c>
      <c r="K191" s="1" t="s">
        <v>26</v>
      </c>
      <c r="L191">
        <v>284</v>
      </c>
      <c r="M191">
        <v>22</v>
      </c>
      <c r="N191" s="1" t="s">
        <v>28</v>
      </c>
      <c r="O191" s="1" t="s">
        <v>28</v>
      </c>
      <c r="P191" s="1" t="s">
        <v>37</v>
      </c>
      <c r="Q191" s="1" t="s">
        <v>42</v>
      </c>
      <c r="R191">
        <v>4.07</v>
      </c>
      <c r="S191" s="1" t="s">
        <v>39</v>
      </c>
    </row>
    <row r="192" spans="1:19" x14ac:dyDescent="0.25">
      <c r="A192">
        <v>86</v>
      </c>
      <c r="B192" s="1" t="s">
        <v>182</v>
      </c>
      <c r="C192" s="1" t="s">
        <v>183</v>
      </c>
      <c r="D192">
        <v>5.5</v>
      </c>
      <c r="E192">
        <v>1.7</v>
      </c>
      <c r="F192" s="1" t="s">
        <v>21</v>
      </c>
      <c r="G192" s="1" t="s">
        <v>63</v>
      </c>
      <c r="H192" s="1" t="s">
        <v>35</v>
      </c>
      <c r="I192" s="1" t="s">
        <v>36</v>
      </c>
      <c r="J192" s="1" t="s">
        <v>25</v>
      </c>
      <c r="K192" s="1" t="s">
        <v>26</v>
      </c>
      <c r="L192">
        <v>406</v>
      </c>
      <c r="M192">
        <v>22</v>
      </c>
      <c r="N192" s="1" t="s">
        <v>42</v>
      </c>
      <c r="O192" s="1" t="s">
        <v>42</v>
      </c>
      <c r="P192" s="1" t="s">
        <v>27</v>
      </c>
      <c r="Q192" s="1" t="s">
        <v>37</v>
      </c>
      <c r="R192">
        <v>4</v>
      </c>
      <c r="S192" s="1" t="s">
        <v>39</v>
      </c>
    </row>
    <row r="193" spans="1:19" x14ac:dyDescent="0.25">
      <c r="A193">
        <v>432</v>
      </c>
      <c r="B193" s="1" t="s">
        <v>175</v>
      </c>
      <c r="C193" s="1" t="s">
        <v>176</v>
      </c>
      <c r="D193">
        <v>5.5</v>
      </c>
      <c r="E193">
        <v>1.6</v>
      </c>
      <c r="F193" s="1" t="s">
        <v>125</v>
      </c>
      <c r="G193" s="1" t="s">
        <v>177</v>
      </c>
      <c r="H193" s="1" t="s">
        <v>35</v>
      </c>
      <c r="I193" s="1" t="s">
        <v>36</v>
      </c>
      <c r="J193" s="1" t="s">
        <v>25</v>
      </c>
      <c r="K193" s="1" t="s">
        <v>26</v>
      </c>
      <c r="L193">
        <v>354</v>
      </c>
      <c r="M193">
        <v>22</v>
      </c>
      <c r="N193" s="1" t="s">
        <v>28</v>
      </c>
      <c r="O193" s="1" t="s">
        <v>42</v>
      </c>
      <c r="P193" s="1" t="s">
        <v>28</v>
      </c>
      <c r="Q193" s="1" t="s">
        <v>27</v>
      </c>
      <c r="R193">
        <v>4</v>
      </c>
      <c r="S193" s="1" t="s">
        <v>39</v>
      </c>
    </row>
    <row r="194" spans="1:19" x14ac:dyDescent="0.25">
      <c r="A194">
        <v>250</v>
      </c>
      <c r="B194" s="1" t="s">
        <v>178</v>
      </c>
      <c r="C194" s="1" t="s">
        <v>179</v>
      </c>
      <c r="D194">
        <v>4.5</v>
      </c>
      <c r="E194">
        <v>3.3</v>
      </c>
      <c r="F194" s="1" t="s">
        <v>21</v>
      </c>
      <c r="G194" s="1" t="s">
        <v>149</v>
      </c>
      <c r="H194" s="1" t="s">
        <v>46</v>
      </c>
      <c r="I194" s="1" t="s">
        <v>47</v>
      </c>
      <c r="J194" s="1" t="s">
        <v>25</v>
      </c>
      <c r="K194" s="1" t="s">
        <v>26</v>
      </c>
      <c r="L194">
        <v>450</v>
      </c>
      <c r="M194">
        <v>18</v>
      </c>
      <c r="N194" s="1" t="s">
        <v>28</v>
      </c>
      <c r="O194" s="1" t="s">
        <v>28</v>
      </c>
      <c r="P194" s="1" t="s">
        <v>42</v>
      </c>
      <c r="Q194" s="1" t="s">
        <v>27</v>
      </c>
      <c r="R194">
        <v>4</v>
      </c>
      <c r="S194" s="1" t="s">
        <v>31</v>
      </c>
    </row>
    <row r="195" spans="1:19" x14ac:dyDescent="0.25">
      <c r="A195">
        <v>565</v>
      </c>
      <c r="B195" s="1" t="s">
        <v>184</v>
      </c>
      <c r="C195" s="1" t="s">
        <v>185</v>
      </c>
      <c r="D195">
        <v>5.6</v>
      </c>
      <c r="E195">
        <v>10</v>
      </c>
      <c r="F195" s="1" t="s">
        <v>21</v>
      </c>
      <c r="G195" s="1" t="s">
        <v>63</v>
      </c>
      <c r="H195" s="1" t="s">
        <v>35</v>
      </c>
      <c r="I195" s="1" t="s">
        <v>36</v>
      </c>
      <c r="J195" s="1" t="s">
        <v>25</v>
      </c>
      <c r="K195" s="1" t="s">
        <v>26</v>
      </c>
      <c r="L195">
        <v>321</v>
      </c>
      <c r="M195">
        <v>22</v>
      </c>
      <c r="N195" s="1" t="s">
        <v>28</v>
      </c>
      <c r="O195" s="1" t="s">
        <v>27</v>
      </c>
      <c r="P195" s="1" t="s">
        <v>42</v>
      </c>
      <c r="Q195" s="1" t="s">
        <v>37</v>
      </c>
      <c r="R195">
        <v>3.93</v>
      </c>
      <c r="S195" s="1" t="s">
        <v>39</v>
      </c>
    </row>
    <row r="196" spans="1:19" x14ac:dyDescent="0.25">
      <c r="A196">
        <v>397</v>
      </c>
      <c r="B196" s="1" t="s">
        <v>186</v>
      </c>
      <c r="C196" s="1" t="s">
        <v>187</v>
      </c>
      <c r="D196">
        <v>8.4</v>
      </c>
      <c r="E196">
        <v>15.4</v>
      </c>
      <c r="F196" s="1" t="s">
        <v>125</v>
      </c>
      <c r="G196" s="1" t="s">
        <v>54</v>
      </c>
      <c r="H196" s="1" t="s">
        <v>35</v>
      </c>
      <c r="I196" s="1" t="s">
        <v>36</v>
      </c>
      <c r="J196" s="1" t="s">
        <v>25</v>
      </c>
      <c r="K196" s="1" t="s">
        <v>26</v>
      </c>
      <c r="L196">
        <v>450</v>
      </c>
      <c r="M196">
        <v>33</v>
      </c>
      <c r="N196" s="1" t="s">
        <v>27</v>
      </c>
      <c r="O196" s="1" t="s">
        <v>37</v>
      </c>
      <c r="P196" s="1" t="s">
        <v>27</v>
      </c>
      <c r="Q196" s="1" t="s">
        <v>27</v>
      </c>
      <c r="R196">
        <v>3.93</v>
      </c>
      <c r="S196" s="1" t="s">
        <v>146</v>
      </c>
    </row>
    <row r="197" spans="1:19" x14ac:dyDescent="0.25">
      <c r="A197">
        <v>502</v>
      </c>
      <c r="B197" s="1" t="s">
        <v>190</v>
      </c>
      <c r="C197" s="1" t="s">
        <v>191</v>
      </c>
      <c r="D197">
        <v>4.4000000000000004</v>
      </c>
      <c r="E197">
        <v>2.5</v>
      </c>
      <c r="F197" s="1" t="s">
        <v>21</v>
      </c>
      <c r="G197" s="1" t="s">
        <v>122</v>
      </c>
      <c r="H197" s="1" t="s">
        <v>23</v>
      </c>
      <c r="I197" s="1" t="s">
        <v>24</v>
      </c>
      <c r="J197" s="1" t="s">
        <v>25</v>
      </c>
      <c r="K197" s="1" t="s">
        <v>26</v>
      </c>
      <c r="L197">
        <v>366</v>
      </c>
      <c r="M197">
        <v>17</v>
      </c>
      <c r="N197" s="1" t="s">
        <v>28</v>
      </c>
      <c r="O197" s="1" t="s">
        <v>42</v>
      </c>
      <c r="P197" s="1" t="s">
        <v>42</v>
      </c>
      <c r="Q197" s="1" t="s">
        <v>42</v>
      </c>
      <c r="R197">
        <v>3.86</v>
      </c>
      <c r="S197" s="1" t="s">
        <v>31</v>
      </c>
    </row>
    <row r="198" spans="1:19" x14ac:dyDescent="0.25">
      <c r="A198">
        <v>10</v>
      </c>
      <c r="B198" s="1" t="s">
        <v>194</v>
      </c>
      <c r="C198" s="1" t="s">
        <v>195</v>
      </c>
      <c r="D198">
        <v>5.5</v>
      </c>
      <c r="E198">
        <v>4.9000000000000004</v>
      </c>
      <c r="F198" s="1" t="s">
        <v>125</v>
      </c>
      <c r="G198" s="1" t="s">
        <v>104</v>
      </c>
      <c r="H198" s="1" t="s">
        <v>23</v>
      </c>
      <c r="I198" s="1" t="s">
        <v>24</v>
      </c>
      <c r="J198" s="1" t="s">
        <v>25</v>
      </c>
      <c r="K198" s="1" t="s">
        <v>29</v>
      </c>
      <c r="L198">
        <v>315</v>
      </c>
      <c r="M198">
        <v>21</v>
      </c>
      <c r="N198" s="1" t="s">
        <v>28</v>
      </c>
      <c r="O198" s="1" t="s">
        <v>42</v>
      </c>
      <c r="P198" s="1" t="s">
        <v>27</v>
      </c>
      <c r="Q198" s="1" t="s">
        <v>37</v>
      </c>
      <c r="R198">
        <v>3.82</v>
      </c>
      <c r="S198" s="1" t="s">
        <v>39</v>
      </c>
    </row>
    <row r="199" spans="1:19" x14ac:dyDescent="0.25">
      <c r="A199">
        <v>544</v>
      </c>
      <c r="B199" s="1" t="s">
        <v>196</v>
      </c>
      <c r="C199" s="1" t="s">
        <v>197</v>
      </c>
      <c r="D199">
        <v>5.5</v>
      </c>
      <c r="E199">
        <v>3.6</v>
      </c>
      <c r="F199" s="1" t="s">
        <v>21</v>
      </c>
      <c r="G199" s="1" t="s">
        <v>165</v>
      </c>
      <c r="H199" s="1" t="s">
        <v>35</v>
      </c>
      <c r="I199" s="1" t="s">
        <v>36</v>
      </c>
      <c r="J199" s="1" t="s">
        <v>25</v>
      </c>
      <c r="K199" s="1" t="s">
        <v>26</v>
      </c>
      <c r="L199">
        <v>450</v>
      </c>
      <c r="M199">
        <v>21</v>
      </c>
      <c r="N199" s="1" t="s">
        <v>28</v>
      </c>
      <c r="O199" s="1" t="s">
        <v>42</v>
      </c>
      <c r="P199" s="1" t="s">
        <v>42</v>
      </c>
      <c r="Q199" s="1" t="s">
        <v>26</v>
      </c>
      <c r="R199">
        <v>3.82</v>
      </c>
      <c r="S199" s="1" t="s">
        <v>39</v>
      </c>
    </row>
    <row r="200" spans="1:19" x14ac:dyDescent="0.25">
      <c r="A200">
        <v>469</v>
      </c>
      <c r="B200" s="1" t="s">
        <v>200</v>
      </c>
      <c r="C200" s="1" t="s">
        <v>201</v>
      </c>
      <c r="D200">
        <v>5</v>
      </c>
      <c r="E200">
        <v>8.8000000000000007</v>
      </c>
      <c r="F200" s="1" t="s">
        <v>21</v>
      </c>
      <c r="G200" s="1" t="s">
        <v>170</v>
      </c>
      <c r="H200" s="1" t="s">
        <v>23</v>
      </c>
      <c r="I200" s="1" t="s">
        <v>24</v>
      </c>
      <c r="J200" s="1" t="s">
        <v>25</v>
      </c>
      <c r="K200" s="1" t="s">
        <v>26</v>
      </c>
      <c r="L200">
        <v>450</v>
      </c>
      <c r="M200">
        <v>19</v>
      </c>
      <c r="N200" s="1" t="s">
        <v>28</v>
      </c>
      <c r="O200" s="1" t="s">
        <v>42</v>
      </c>
      <c r="P200" s="1" t="s">
        <v>42</v>
      </c>
      <c r="Q200" s="1" t="s">
        <v>42</v>
      </c>
      <c r="R200">
        <v>3.8</v>
      </c>
      <c r="S200" s="1" t="s">
        <v>39</v>
      </c>
    </row>
    <row r="201" spans="1:19" x14ac:dyDescent="0.25">
      <c r="A201">
        <v>237</v>
      </c>
      <c r="B201" s="1" t="s">
        <v>202</v>
      </c>
      <c r="C201" s="1" t="s">
        <v>203</v>
      </c>
      <c r="D201">
        <v>5.8</v>
      </c>
      <c r="E201">
        <v>6.7</v>
      </c>
      <c r="F201" s="1" t="s">
        <v>21</v>
      </c>
      <c r="G201" s="1" t="s">
        <v>54</v>
      </c>
      <c r="H201" s="1" t="s">
        <v>35</v>
      </c>
      <c r="I201" s="1" t="s">
        <v>36</v>
      </c>
      <c r="J201" s="1" t="s">
        <v>25</v>
      </c>
      <c r="K201" s="1" t="s">
        <v>26</v>
      </c>
      <c r="L201">
        <v>385</v>
      </c>
      <c r="M201">
        <v>22</v>
      </c>
      <c r="N201" s="1" t="s">
        <v>28</v>
      </c>
      <c r="O201" s="1" t="s">
        <v>27</v>
      </c>
      <c r="P201" s="1" t="s">
        <v>27</v>
      </c>
      <c r="Q201" s="1" t="s">
        <v>42</v>
      </c>
      <c r="R201">
        <v>3.79</v>
      </c>
      <c r="S201" s="1" t="s">
        <v>39</v>
      </c>
    </row>
    <row r="202" spans="1:19" x14ac:dyDescent="0.25">
      <c r="A202">
        <v>40</v>
      </c>
      <c r="B202" s="1" t="s">
        <v>204</v>
      </c>
      <c r="C202" s="1" t="s">
        <v>205</v>
      </c>
      <c r="D202">
        <v>7.7</v>
      </c>
      <c r="E202">
        <v>40.4</v>
      </c>
      <c r="F202" s="1" t="s">
        <v>21</v>
      </c>
      <c r="G202" s="1" t="s">
        <v>158</v>
      </c>
      <c r="H202" s="1" t="s">
        <v>35</v>
      </c>
      <c r="I202" s="1" t="s">
        <v>36</v>
      </c>
      <c r="J202" s="1" t="s">
        <v>25</v>
      </c>
      <c r="K202" s="1" t="s">
        <v>26</v>
      </c>
      <c r="L202">
        <v>437</v>
      </c>
      <c r="M202">
        <v>29</v>
      </c>
      <c r="N202" s="1" t="s">
        <v>37</v>
      </c>
      <c r="O202" s="1" t="s">
        <v>42</v>
      </c>
      <c r="P202" s="1" t="s">
        <v>28</v>
      </c>
      <c r="Q202" s="1" t="s">
        <v>27</v>
      </c>
      <c r="R202">
        <v>3.77</v>
      </c>
      <c r="S202" s="1" t="s">
        <v>146</v>
      </c>
    </row>
    <row r="203" spans="1:19" x14ac:dyDescent="0.25">
      <c r="A203">
        <v>346</v>
      </c>
      <c r="B203" s="1" t="s">
        <v>206</v>
      </c>
      <c r="C203" s="1" t="s">
        <v>207</v>
      </c>
      <c r="D203">
        <v>6</v>
      </c>
      <c r="E203">
        <v>24.8</v>
      </c>
      <c r="F203" s="1" t="s">
        <v>21</v>
      </c>
      <c r="G203" s="1" t="s">
        <v>22</v>
      </c>
      <c r="H203" s="1" t="s">
        <v>107</v>
      </c>
      <c r="I203" s="1" t="s">
        <v>108</v>
      </c>
      <c r="J203" s="1" t="s">
        <v>25</v>
      </c>
      <c r="K203" s="1" t="s">
        <v>26</v>
      </c>
      <c r="L203">
        <v>419</v>
      </c>
      <c r="M203">
        <v>22</v>
      </c>
      <c r="N203" s="1" t="s">
        <v>27</v>
      </c>
      <c r="O203" s="1" t="s">
        <v>42</v>
      </c>
      <c r="P203" s="1" t="s">
        <v>37</v>
      </c>
      <c r="Q203" s="1" t="s">
        <v>29</v>
      </c>
      <c r="R203">
        <v>3.67</v>
      </c>
      <c r="S203" s="1" t="s">
        <v>39</v>
      </c>
    </row>
    <row r="204" spans="1:19" x14ac:dyDescent="0.25">
      <c r="A204">
        <v>379</v>
      </c>
      <c r="B204" s="1" t="s">
        <v>208</v>
      </c>
      <c r="C204" s="1" t="s">
        <v>209</v>
      </c>
      <c r="D204">
        <v>9.1</v>
      </c>
      <c r="E204">
        <v>22.5</v>
      </c>
      <c r="F204" s="1" t="s">
        <v>125</v>
      </c>
      <c r="G204" s="1" t="s">
        <v>117</v>
      </c>
      <c r="H204" s="1" t="s">
        <v>107</v>
      </c>
      <c r="I204" s="1" t="s">
        <v>108</v>
      </c>
      <c r="J204" s="1" t="s">
        <v>25</v>
      </c>
      <c r="K204" s="1" t="s">
        <v>26</v>
      </c>
      <c r="L204">
        <v>413</v>
      </c>
      <c r="M204">
        <v>33</v>
      </c>
      <c r="N204" s="1" t="s">
        <v>29</v>
      </c>
      <c r="O204" s="1" t="s">
        <v>28</v>
      </c>
      <c r="P204" s="1" t="s">
        <v>37</v>
      </c>
      <c r="Q204" s="1" t="s">
        <v>97</v>
      </c>
      <c r="R204">
        <v>3.63</v>
      </c>
      <c r="S204" s="1" t="s">
        <v>210</v>
      </c>
    </row>
    <row r="205" spans="1:19" x14ac:dyDescent="0.25">
      <c r="A205">
        <v>249</v>
      </c>
      <c r="B205" s="1" t="s">
        <v>211</v>
      </c>
      <c r="C205" s="1" t="s">
        <v>212</v>
      </c>
      <c r="D205">
        <v>5.6</v>
      </c>
      <c r="E205">
        <v>8.3000000000000007</v>
      </c>
      <c r="F205" s="1" t="s">
        <v>21</v>
      </c>
      <c r="G205" s="1" t="s">
        <v>50</v>
      </c>
      <c r="H205" s="1" t="s">
        <v>107</v>
      </c>
      <c r="I205" s="1" t="s">
        <v>108</v>
      </c>
      <c r="J205" s="1" t="s">
        <v>25</v>
      </c>
      <c r="K205" s="1" t="s">
        <v>26</v>
      </c>
      <c r="L205">
        <v>417</v>
      </c>
      <c r="M205">
        <v>20</v>
      </c>
      <c r="N205" s="1" t="s">
        <v>27</v>
      </c>
      <c r="O205" s="1" t="s">
        <v>28</v>
      </c>
      <c r="P205" s="1" t="s">
        <v>37</v>
      </c>
      <c r="Q205" s="1" t="s">
        <v>27</v>
      </c>
      <c r="R205">
        <v>3.57</v>
      </c>
      <c r="S205" s="1" t="s">
        <v>39</v>
      </c>
    </row>
    <row r="206" spans="1:19" x14ac:dyDescent="0.25">
      <c r="A206">
        <v>41</v>
      </c>
      <c r="B206" s="1" t="s">
        <v>213</v>
      </c>
      <c r="C206" s="1" t="s">
        <v>214</v>
      </c>
      <c r="D206">
        <v>5.9</v>
      </c>
      <c r="E206">
        <v>1</v>
      </c>
      <c r="F206" s="1" t="s">
        <v>21</v>
      </c>
      <c r="G206" s="1" t="s">
        <v>215</v>
      </c>
      <c r="H206" s="1" t="s">
        <v>35</v>
      </c>
      <c r="I206" s="1" t="s">
        <v>36</v>
      </c>
      <c r="J206" s="1" t="s">
        <v>25</v>
      </c>
      <c r="K206" s="1" t="s">
        <v>26</v>
      </c>
      <c r="L206">
        <v>401</v>
      </c>
      <c r="M206">
        <v>21</v>
      </c>
      <c r="N206" s="1" t="s">
        <v>42</v>
      </c>
      <c r="O206" s="1" t="s">
        <v>28</v>
      </c>
      <c r="P206" s="1" t="s">
        <v>42</v>
      </c>
      <c r="Q206" s="1" t="s">
        <v>37</v>
      </c>
      <c r="R206">
        <v>3.56</v>
      </c>
      <c r="S206" s="1" t="s">
        <v>39</v>
      </c>
    </row>
    <row r="207" spans="1:19" x14ac:dyDescent="0.25">
      <c r="A207">
        <v>110</v>
      </c>
      <c r="B207" s="1" t="s">
        <v>216</v>
      </c>
      <c r="C207" s="1" t="s">
        <v>217</v>
      </c>
      <c r="D207">
        <v>4.5</v>
      </c>
      <c r="E207">
        <v>0.8</v>
      </c>
      <c r="F207" s="1" t="s">
        <v>21</v>
      </c>
      <c r="G207" s="1" t="s">
        <v>75</v>
      </c>
      <c r="H207" s="1" t="s">
        <v>46</v>
      </c>
      <c r="I207" s="1" t="s">
        <v>47</v>
      </c>
      <c r="J207" s="1" t="s">
        <v>25</v>
      </c>
      <c r="K207" s="1" t="s">
        <v>26</v>
      </c>
      <c r="L207">
        <v>450</v>
      </c>
      <c r="M207">
        <v>16</v>
      </c>
      <c r="N207" s="1" t="s">
        <v>28</v>
      </c>
      <c r="O207" s="1" t="s">
        <v>42</v>
      </c>
      <c r="P207" s="1" t="s">
        <v>42</v>
      </c>
      <c r="Q207" s="1" t="s">
        <v>27</v>
      </c>
      <c r="R207">
        <v>3.56</v>
      </c>
      <c r="S207" s="1" t="s">
        <v>31</v>
      </c>
    </row>
    <row r="208" spans="1:19" x14ac:dyDescent="0.25">
      <c r="A208">
        <v>480</v>
      </c>
      <c r="B208" s="1" t="s">
        <v>220</v>
      </c>
      <c r="C208" s="1" t="s">
        <v>221</v>
      </c>
      <c r="D208">
        <v>8</v>
      </c>
      <c r="E208">
        <v>15.7</v>
      </c>
      <c r="F208" s="1" t="s">
        <v>21</v>
      </c>
      <c r="G208" s="1" t="s">
        <v>170</v>
      </c>
      <c r="H208" s="1" t="s">
        <v>35</v>
      </c>
      <c r="I208" s="1" t="s">
        <v>36</v>
      </c>
      <c r="J208" s="1" t="s">
        <v>25</v>
      </c>
      <c r="K208" s="1" t="s">
        <v>26</v>
      </c>
      <c r="L208">
        <v>450</v>
      </c>
      <c r="M208">
        <v>28</v>
      </c>
      <c r="N208" s="1" t="s">
        <v>42</v>
      </c>
      <c r="O208" s="1" t="s">
        <v>27</v>
      </c>
      <c r="P208" s="1" t="s">
        <v>42</v>
      </c>
      <c r="Q208" s="1" t="s">
        <v>30</v>
      </c>
      <c r="R208">
        <v>3.5</v>
      </c>
      <c r="S208" s="1" t="s">
        <v>146</v>
      </c>
    </row>
    <row r="209" spans="1:19" x14ac:dyDescent="0.25">
      <c r="A209">
        <v>242</v>
      </c>
      <c r="B209" s="1" t="s">
        <v>224</v>
      </c>
      <c r="C209" s="1" t="s">
        <v>225</v>
      </c>
      <c r="D209">
        <v>5.5</v>
      </c>
      <c r="E209">
        <v>0.9</v>
      </c>
      <c r="F209" s="1" t="s">
        <v>21</v>
      </c>
      <c r="G209" s="1" t="s">
        <v>50</v>
      </c>
      <c r="H209" s="1" t="s">
        <v>35</v>
      </c>
      <c r="I209" s="1" t="s">
        <v>36</v>
      </c>
      <c r="J209" s="1" t="s">
        <v>25</v>
      </c>
      <c r="K209" s="1" t="s">
        <v>26</v>
      </c>
      <c r="L209">
        <v>309</v>
      </c>
      <c r="M209">
        <v>19</v>
      </c>
      <c r="N209" s="1" t="s">
        <v>42</v>
      </c>
      <c r="O209" s="1" t="s">
        <v>28</v>
      </c>
      <c r="P209" s="1" t="s">
        <v>27</v>
      </c>
      <c r="Q209" s="1" t="s">
        <v>37</v>
      </c>
      <c r="R209">
        <v>3.45</v>
      </c>
      <c r="S209" s="1" t="s">
        <v>39</v>
      </c>
    </row>
    <row r="210" spans="1:19" x14ac:dyDescent="0.25">
      <c r="A210">
        <v>12</v>
      </c>
      <c r="B210" s="1" t="s">
        <v>226</v>
      </c>
      <c r="C210" s="1" t="s">
        <v>227</v>
      </c>
      <c r="D210">
        <v>9.5</v>
      </c>
      <c r="E210">
        <v>13.6</v>
      </c>
      <c r="F210" s="1" t="s">
        <v>21</v>
      </c>
      <c r="G210" s="1" t="s">
        <v>104</v>
      </c>
      <c r="H210" s="1" t="s">
        <v>35</v>
      </c>
      <c r="I210" s="1" t="s">
        <v>36</v>
      </c>
      <c r="J210" s="1" t="s">
        <v>25</v>
      </c>
      <c r="K210" s="1" t="s">
        <v>26</v>
      </c>
      <c r="L210">
        <v>416</v>
      </c>
      <c r="M210">
        <v>32</v>
      </c>
      <c r="N210" s="1" t="s">
        <v>37</v>
      </c>
      <c r="O210" s="1" t="s">
        <v>28</v>
      </c>
      <c r="P210" s="1" t="s">
        <v>37</v>
      </c>
      <c r="Q210" s="1" t="s">
        <v>29</v>
      </c>
      <c r="R210">
        <v>3.37</v>
      </c>
      <c r="S210" s="1" t="s">
        <v>210</v>
      </c>
    </row>
    <row r="211" spans="1:19" x14ac:dyDescent="0.25">
      <c r="A211">
        <v>257</v>
      </c>
      <c r="B211" s="1" t="s">
        <v>228</v>
      </c>
      <c r="C211" s="1" t="s">
        <v>229</v>
      </c>
      <c r="D211">
        <v>4.5</v>
      </c>
      <c r="E211">
        <v>0.7</v>
      </c>
      <c r="F211" s="1" t="s">
        <v>21</v>
      </c>
      <c r="G211" s="1" t="s">
        <v>149</v>
      </c>
      <c r="H211" s="1" t="s">
        <v>23</v>
      </c>
      <c r="I211" s="1" t="s">
        <v>24</v>
      </c>
      <c r="J211" s="1" t="s">
        <v>25</v>
      </c>
      <c r="K211" s="1" t="s">
        <v>26</v>
      </c>
      <c r="L211">
        <v>450</v>
      </c>
      <c r="M211">
        <v>15</v>
      </c>
      <c r="N211" s="1" t="s">
        <v>28</v>
      </c>
      <c r="O211" s="1" t="s">
        <v>42</v>
      </c>
      <c r="P211" s="1" t="s">
        <v>42</v>
      </c>
      <c r="Q211" s="1" t="s">
        <v>42</v>
      </c>
      <c r="R211">
        <v>3.33</v>
      </c>
      <c r="S211" s="1" t="s">
        <v>31</v>
      </c>
    </row>
    <row r="212" spans="1:19" x14ac:dyDescent="0.25">
      <c r="A212">
        <v>428</v>
      </c>
      <c r="B212" s="1" t="s">
        <v>232</v>
      </c>
      <c r="C212" s="1" t="s">
        <v>233</v>
      </c>
      <c r="D212">
        <v>7.9</v>
      </c>
      <c r="E212">
        <v>5.8</v>
      </c>
      <c r="F212" s="1" t="s">
        <v>21</v>
      </c>
      <c r="G212" s="1" t="s">
        <v>177</v>
      </c>
      <c r="H212" s="1" t="s">
        <v>35</v>
      </c>
      <c r="I212" s="1" t="s">
        <v>36</v>
      </c>
      <c r="J212" s="1" t="s">
        <v>25</v>
      </c>
      <c r="K212" s="1" t="s">
        <v>26</v>
      </c>
      <c r="L212">
        <v>407</v>
      </c>
      <c r="M212">
        <v>26</v>
      </c>
      <c r="N212" s="1" t="s">
        <v>42</v>
      </c>
      <c r="O212" s="1" t="s">
        <v>27</v>
      </c>
      <c r="P212" s="1" t="s">
        <v>42</v>
      </c>
      <c r="Q212" s="1" t="s">
        <v>29</v>
      </c>
      <c r="R212">
        <v>3.29</v>
      </c>
      <c r="S212" s="1" t="s">
        <v>146</v>
      </c>
    </row>
    <row r="213" spans="1:19" x14ac:dyDescent="0.25">
      <c r="A213">
        <v>503</v>
      </c>
      <c r="B213" s="1" t="s">
        <v>234</v>
      </c>
      <c r="C213" s="1" t="s">
        <v>235</v>
      </c>
      <c r="D213">
        <v>5</v>
      </c>
      <c r="E213">
        <v>3.8</v>
      </c>
      <c r="F213" s="1" t="s">
        <v>21</v>
      </c>
      <c r="G213" s="1" t="s">
        <v>122</v>
      </c>
      <c r="H213" s="1" t="s">
        <v>23</v>
      </c>
      <c r="I213" s="1" t="s">
        <v>24</v>
      </c>
      <c r="J213" s="1" t="s">
        <v>25</v>
      </c>
      <c r="K213" s="1" t="s">
        <v>29</v>
      </c>
      <c r="L213">
        <v>360</v>
      </c>
      <c r="M213">
        <v>16</v>
      </c>
      <c r="N213" s="1" t="s">
        <v>28</v>
      </c>
      <c r="O213" s="1" t="s">
        <v>28</v>
      </c>
      <c r="P213" s="1" t="s">
        <v>27</v>
      </c>
      <c r="Q213" s="1" t="s">
        <v>37</v>
      </c>
      <c r="R213">
        <v>3.2</v>
      </c>
      <c r="S213" s="1" t="s">
        <v>39</v>
      </c>
    </row>
    <row r="214" spans="1:19" x14ac:dyDescent="0.25">
      <c r="A214">
        <v>597</v>
      </c>
      <c r="B214" s="1" t="s">
        <v>236</v>
      </c>
      <c r="C214" s="1" t="s">
        <v>237</v>
      </c>
      <c r="D214">
        <v>5</v>
      </c>
      <c r="E214">
        <v>1.9</v>
      </c>
      <c r="F214" s="1" t="s">
        <v>21</v>
      </c>
      <c r="G214" s="1" t="s">
        <v>215</v>
      </c>
      <c r="H214" s="1" t="s">
        <v>46</v>
      </c>
      <c r="I214" s="1" t="s">
        <v>47</v>
      </c>
      <c r="J214" s="1" t="s">
        <v>25</v>
      </c>
      <c r="K214" s="1" t="s">
        <v>29</v>
      </c>
      <c r="L214">
        <v>360</v>
      </c>
      <c r="M214">
        <v>16</v>
      </c>
      <c r="N214" s="1" t="s">
        <v>28</v>
      </c>
      <c r="O214" s="1" t="s">
        <v>28</v>
      </c>
      <c r="P214" s="1" t="s">
        <v>42</v>
      </c>
      <c r="Q214" s="1" t="s">
        <v>37</v>
      </c>
      <c r="R214">
        <v>3.2</v>
      </c>
      <c r="S214" s="1" t="s">
        <v>39</v>
      </c>
    </row>
    <row r="215" spans="1:19" x14ac:dyDescent="0.25">
      <c r="A215">
        <v>542</v>
      </c>
      <c r="B215" s="1" t="s">
        <v>242</v>
      </c>
      <c r="C215" s="1" t="s">
        <v>243</v>
      </c>
      <c r="D215">
        <v>5.7</v>
      </c>
      <c r="E215">
        <v>3.4</v>
      </c>
      <c r="F215" s="1" t="s">
        <v>21</v>
      </c>
      <c r="G215" s="1" t="s">
        <v>165</v>
      </c>
      <c r="H215" s="1" t="s">
        <v>35</v>
      </c>
      <c r="I215" s="1" t="s">
        <v>36</v>
      </c>
      <c r="J215" s="1" t="s">
        <v>25</v>
      </c>
      <c r="K215" s="1" t="s">
        <v>26</v>
      </c>
      <c r="L215">
        <v>438</v>
      </c>
      <c r="M215">
        <v>18</v>
      </c>
      <c r="N215" s="1" t="s">
        <v>42</v>
      </c>
      <c r="O215" s="1" t="s">
        <v>42</v>
      </c>
      <c r="P215" s="1" t="s">
        <v>42</v>
      </c>
      <c r="Q215" s="1" t="s">
        <v>42</v>
      </c>
      <c r="R215">
        <v>3.16</v>
      </c>
      <c r="S215" s="1" t="s">
        <v>39</v>
      </c>
    </row>
    <row r="216" spans="1:19" x14ac:dyDescent="0.25">
      <c r="A216">
        <v>427</v>
      </c>
      <c r="B216" s="1" t="s">
        <v>244</v>
      </c>
      <c r="C216" s="1" t="s">
        <v>245</v>
      </c>
      <c r="D216">
        <v>7.9</v>
      </c>
      <c r="E216">
        <v>20.6</v>
      </c>
      <c r="F216" s="1" t="s">
        <v>21</v>
      </c>
      <c r="G216" s="1" t="s">
        <v>177</v>
      </c>
      <c r="H216" s="1" t="s">
        <v>35</v>
      </c>
      <c r="I216" s="1" t="s">
        <v>36</v>
      </c>
      <c r="J216" s="1" t="s">
        <v>25</v>
      </c>
      <c r="K216" s="1" t="s">
        <v>26</v>
      </c>
      <c r="L216">
        <v>450</v>
      </c>
      <c r="M216">
        <v>25</v>
      </c>
      <c r="N216" s="1" t="s">
        <v>27</v>
      </c>
      <c r="O216" s="1" t="s">
        <v>42</v>
      </c>
      <c r="P216" s="1" t="s">
        <v>28</v>
      </c>
      <c r="Q216" s="1" t="s">
        <v>37</v>
      </c>
      <c r="R216">
        <v>3.16</v>
      </c>
      <c r="S216" s="1" t="s">
        <v>146</v>
      </c>
    </row>
    <row r="217" spans="1:19" x14ac:dyDescent="0.25">
      <c r="A217">
        <v>45</v>
      </c>
      <c r="B217" s="1" t="s">
        <v>246</v>
      </c>
      <c r="C217" s="1" t="s">
        <v>247</v>
      </c>
      <c r="D217">
        <v>5.4</v>
      </c>
      <c r="E217">
        <v>2.2000000000000002</v>
      </c>
      <c r="F217" s="1" t="s">
        <v>21</v>
      </c>
      <c r="G217" s="1" t="s">
        <v>215</v>
      </c>
      <c r="H217" s="1" t="s">
        <v>35</v>
      </c>
      <c r="I217" s="1" t="s">
        <v>36</v>
      </c>
      <c r="J217" s="1" t="s">
        <v>25</v>
      </c>
      <c r="K217" s="1" t="s">
        <v>26</v>
      </c>
      <c r="L217">
        <v>434</v>
      </c>
      <c r="M217">
        <v>17</v>
      </c>
      <c r="N217" s="1" t="s">
        <v>28</v>
      </c>
      <c r="O217" s="1" t="s">
        <v>27</v>
      </c>
      <c r="P217" s="1" t="s">
        <v>27</v>
      </c>
      <c r="Q217" s="1" t="s">
        <v>42</v>
      </c>
      <c r="R217">
        <v>3.15</v>
      </c>
      <c r="S217" s="1" t="s">
        <v>39</v>
      </c>
    </row>
    <row r="218" spans="1:19" x14ac:dyDescent="0.25">
      <c r="A218">
        <v>4</v>
      </c>
      <c r="B218" s="1" t="s">
        <v>248</v>
      </c>
      <c r="C218" s="1" t="s">
        <v>249</v>
      </c>
      <c r="D218">
        <v>8</v>
      </c>
      <c r="E218">
        <v>22.7</v>
      </c>
      <c r="F218" s="1" t="s">
        <v>21</v>
      </c>
      <c r="G218" s="1" t="s">
        <v>104</v>
      </c>
      <c r="H218" s="1" t="s">
        <v>23</v>
      </c>
      <c r="I218" s="1" t="s">
        <v>24</v>
      </c>
      <c r="J218" s="1" t="s">
        <v>25</v>
      </c>
      <c r="K218" s="1" t="s">
        <v>26</v>
      </c>
      <c r="L218">
        <v>450</v>
      </c>
      <c r="M218">
        <v>25</v>
      </c>
      <c r="N218" s="1" t="s">
        <v>28</v>
      </c>
      <c r="O218" s="1" t="s">
        <v>28</v>
      </c>
      <c r="P218" s="1" t="s">
        <v>37</v>
      </c>
      <c r="Q218" s="1" t="s">
        <v>27</v>
      </c>
      <c r="R218">
        <v>3.13</v>
      </c>
      <c r="S218" s="1" t="s">
        <v>146</v>
      </c>
    </row>
    <row r="219" spans="1:19" x14ac:dyDescent="0.25">
      <c r="A219">
        <v>336</v>
      </c>
      <c r="B219" s="1" t="s">
        <v>256</v>
      </c>
      <c r="C219" s="1" t="s">
        <v>257</v>
      </c>
      <c r="D219">
        <v>5.8</v>
      </c>
      <c r="E219">
        <v>0.4</v>
      </c>
      <c r="F219" s="1" t="s">
        <v>21</v>
      </c>
      <c r="G219" s="1" t="s">
        <v>22</v>
      </c>
      <c r="H219" s="1" t="s">
        <v>35</v>
      </c>
      <c r="I219" s="1" t="s">
        <v>36</v>
      </c>
      <c r="J219" s="1" t="s">
        <v>25</v>
      </c>
      <c r="K219" s="1" t="s">
        <v>26</v>
      </c>
      <c r="L219">
        <v>299</v>
      </c>
      <c r="M219">
        <v>18</v>
      </c>
      <c r="N219" s="1" t="s">
        <v>42</v>
      </c>
      <c r="O219" s="1" t="s">
        <v>28</v>
      </c>
      <c r="P219" s="1" t="s">
        <v>37</v>
      </c>
      <c r="Q219" s="1" t="s">
        <v>42</v>
      </c>
      <c r="R219">
        <v>3.1</v>
      </c>
      <c r="S219" s="1" t="s">
        <v>39</v>
      </c>
    </row>
    <row r="220" spans="1:19" x14ac:dyDescent="0.25">
      <c r="A220">
        <v>236</v>
      </c>
      <c r="B220" s="1" t="s">
        <v>260</v>
      </c>
      <c r="C220" s="1" t="s">
        <v>261</v>
      </c>
      <c r="D220">
        <v>6.6</v>
      </c>
      <c r="E220">
        <v>6</v>
      </c>
      <c r="F220" s="1" t="s">
        <v>21</v>
      </c>
      <c r="G220" s="1" t="s">
        <v>50</v>
      </c>
      <c r="H220" s="1" t="s">
        <v>35</v>
      </c>
      <c r="I220" s="1" t="s">
        <v>36</v>
      </c>
      <c r="J220" s="1" t="s">
        <v>25</v>
      </c>
      <c r="K220" s="1" t="s">
        <v>26</v>
      </c>
      <c r="L220">
        <v>450</v>
      </c>
      <c r="M220">
        <v>20</v>
      </c>
      <c r="N220" s="1" t="s">
        <v>42</v>
      </c>
      <c r="O220" s="1" t="s">
        <v>28</v>
      </c>
      <c r="P220" s="1" t="s">
        <v>37</v>
      </c>
      <c r="Q220" s="1" t="s">
        <v>37</v>
      </c>
      <c r="R220">
        <v>3.03</v>
      </c>
      <c r="S220" s="1" t="s">
        <v>39</v>
      </c>
    </row>
    <row r="221" spans="1:19" x14ac:dyDescent="0.25">
      <c r="A221">
        <v>96</v>
      </c>
      <c r="B221" s="1" t="s">
        <v>270</v>
      </c>
      <c r="C221" s="1" t="s">
        <v>271</v>
      </c>
      <c r="D221">
        <v>5.4</v>
      </c>
      <c r="E221">
        <v>0.4</v>
      </c>
      <c r="F221" s="1" t="s">
        <v>21</v>
      </c>
      <c r="G221" s="1" t="s">
        <v>63</v>
      </c>
      <c r="H221" s="1" t="s">
        <v>35</v>
      </c>
      <c r="I221" s="1" t="s">
        <v>36</v>
      </c>
      <c r="J221" s="1" t="s">
        <v>25</v>
      </c>
      <c r="K221" s="1" t="s">
        <v>26</v>
      </c>
      <c r="L221">
        <v>283</v>
      </c>
      <c r="M221">
        <v>16</v>
      </c>
      <c r="N221" s="1" t="s">
        <v>28</v>
      </c>
      <c r="O221" s="1" t="s">
        <v>42</v>
      </c>
      <c r="P221" s="1" t="s">
        <v>27</v>
      </c>
      <c r="Q221" s="1" t="s">
        <v>37</v>
      </c>
      <c r="R221">
        <v>2.96</v>
      </c>
      <c r="S221" s="1" t="s">
        <v>39</v>
      </c>
    </row>
    <row r="222" spans="1:19" x14ac:dyDescent="0.25">
      <c r="A222">
        <v>454</v>
      </c>
      <c r="B222" s="1" t="s">
        <v>272</v>
      </c>
      <c r="C222" s="1" t="s">
        <v>273</v>
      </c>
      <c r="D222">
        <v>6.1</v>
      </c>
      <c r="E222">
        <v>4.5999999999999996</v>
      </c>
      <c r="F222" s="1" t="s">
        <v>274</v>
      </c>
      <c r="G222" s="1" t="s">
        <v>80</v>
      </c>
      <c r="H222" s="1" t="s">
        <v>35</v>
      </c>
      <c r="I222" s="1" t="s">
        <v>36</v>
      </c>
      <c r="J222" s="1" t="s">
        <v>25</v>
      </c>
      <c r="K222" s="1" t="s">
        <v>37</v>
      </c>
      <c r="L222">
        <v>232</v>
      </c>
      <c r="M222">
        <v>18</v>
      </c>
      <c r="N222" s="1" t="s">
        <v>27</v>
      </c>
      <c r="O222" s="1" t="s">
        <v>28</v>
      </c>
      <c r="P222" s="1" t="s">
        <v>42</v>
      </c>
      <c r="Q222" s="1" t="s">
        <v>27</v>
      </c>
      <c r="R222">
        <v>2.95</v>
      </c>
      <c r="S222" s="1" t="s">
        <v>39</v>
      </c>
    </row>
    <row r="223" spans="1:19" x14ac:dyDescent="0.25">
      <c r="A223">
        <v>593</v>
      </c>
      <c r="B223" s="1" t="s">
        <v>277</v>
      </c>
      <c r="C223" s="1" t="s">
        <v>278</v>
      </c>
      <c r="D223">
        <v>4.5</v>
      </c>
      <c r="E223">
        <v>1.8</v>
      </c>
      <c r="F223" s="1" t="s">
        <v>274</v>
      </c>
      <c r="G223" s="1" t="s">
        <v>80</v>
      </c>
      <c r="H223" s="1" t="s">
        <v>23</v>
      </c>
      <c r="I223" s="1" t="s">
        <v>24</v>
      </c>
      <c r="J223" s="1" t="s">
        <v>25</v>
      </c>
      <c r="K223" s="1" t="s">
        <v>29</v>
      </c>
      <c r="L223">
        <v>327</v>
      </c>
      <c r="M223">
        <v>13</v>
      </c>
      <c r="N223" s="1" t="s">
        <v>28</v>
      </c>
      <c r="O223" s="1" t="s">
        <v>42</v>
      </c>
      <c r="P223" s="1" t="s">
        <v>42</v>
      </c>
      <c r="Q223" s="1" t="s">
        <v>27</v>
      </c>
      <c r="R223">
        <v>2.89</v>
      </c>
      <c r="S223" s="1" t="s">
        <v>31</v>
      </c>
    </row>
    <row r="224" spans="1:19" x14ac:dyDescent="0.25">
      <c r="A224">
        <v>154</v>
      </c>
      <c r="B224" s="1" t="s">
        <v>281</v>
      </c>
      <c r="C224" s="1" t="s">
        <v>282</v>
      </c>
      <c r="D224">
        <v>9.6999999999999993</v>
      </c>
      <c r="E224">
        <v>25.8</v>
      </c>
      <c r="F224" s="1" t="s">
        <v>125</v>
      </c>
      <c r="G224" s="1" t="s">
        <v>158</v>
      </c>
      <c r="H224" s="1" t="s">
        <v>35</v>
      </c>
      <c r="I224" s="1" t="s">
        <v>36</v>
      </c>
      <c r="J224" s="1" t="s">
        <v>25</v>
      </c>
      <c r="K224" s="1" t="s">
        <v>26</v>
      </c>
      <c r="L224">
        <v>442</v>
      </c>
      <c r="M224">
        <v>28</v>
      </c>
      <c r="N224" s="1" t="s">
        <v>27</v>
      </c>
      <c r="O224" s="1" t="s">
        <v>27</v>
      </c>
      <c r="P224" s="1" t="s">
        <v>28</v>
      </c>
      <c r="Q224" s="1" t="s">
        <v>37</v>
      </c>
      <c r="R224">
        <v>2.89</v>
      </c>
      <c r="S224" s="1" t="s">
        <v>210</v>
      </c>
    </row>
    <row r="225" spans="1:19" x14ac:dyDescent="0.25">
      <c r="A225">
        <v>368</v>
      </c>
      <c r="B225" s="1" t="s">
        <v>285</v>
      </c>
      <c r="C225" s="1" t="s">
        <v>286</v>
      </c>
      <c r="D225">
        <v>7</v>
      </c>
      <c r="E225">
        <v>32.9</v>
      </c>
      <c r="F225" s="1" t="s">
        <v>21</v>
      </c>
      <c r="G225" s="1" t="s">
        <v>117</v>
      </c>
      <c r="H225" s="1" t="s">
        <v>35</v>
      </c>
      <c r="I225" s="1" t="s">
        <v>36</v>
      </c>
      <c r="J225" s="1" t="s">
        <v>25</v>
      </c>
      <c r="K225" s="1" t="s">
        <v>26</v>
      </c>
      <c r="L225">
        <v>440</v>
      </c>
      <c r="M225">
        <v>20</v>
      </c>
      <c r="N225" s="1" t="s">
        <v>42</v>
      </c>
      <c r="O225" s="1" t="s">
        <v>28</v>
      </c>
      <c r="P225" s="1" t="s">
        <v>37</v>
      </c>
      <c r="Q225" s="1" t="s">
        <v>42</v>
      </c>
      <c r="R225">
        <v>2.86</v>
      </c>
      <c r="S225" s="1" t="s">
        <v>146</v>
      </c>
    </row>
    <row r="226" spans="1:19" x14ac:dyDescent="0.25">
      <c r="A226">
        <v>483</v>
      </c>
      <c r="B226" s="1" t="s">
        <v>301</v>
      </c>
      <c r="C226" s="1" t="s">
        <v>302</v>
      </c>
      <c r="D226">
        <v>5.5</v>
      </c>
      <c r="E226">
        <v>0.7</v>
      </c>
      <c r="F226" s="1" t="s">
        <v>21</v>
      </c>
      <c r="G226" s="1" t="s">
        <v>170</v>
      </c>
      <c r="H226" s="1" t="s">
        <v>35</v>
      </c>
      <c r="I226" s="1" t="s">
        <v>36</v>
      </c>
      <c r="J226" s="1" t="s">
        <v>25</v>
      </c>
      <c r="K226" s="1" t="s">
        <v>26</v>
      </c>
      <c r="L226">
        <v>316</v>
      </c>
      <c r="M226">
        <v>15</v>
      </c>
      <c r="N226" s="1" t="s">
        <v>42</v>
      </c>
      <c r="O226" s="1" t="s">
        <v>28</v>
      </c>
      <c r="P226" s="1" t="s">
        <v>42</v>
      </c>
      <c r="Q226" s="1" t="s">
        <v>27</v>
      </c>
      <c r="R226">
        <v>2.73</v>
      </c>
      <c r="S226" s="1" t="s">
        <v>39</v>
      </c>
    </row>
    <row r="227" spans="1:19" x14ac:dyDescent="0.25">
      <c r="A227">
        <v>426</v>
      </c>
      <c r="B227" s="1" t="s">
        <v>316</v>
      </c>
      <c r="C227" s="1" t="s">
        <v>317</v>
      </c>
      <c r="D227">
        <v>11.9</v>
      </c>
      <c r="E227">
        <v>38.5</v>
      </c>
      <c r="F227" s="1" t="s">
        <v>21</v>
      </c>
      <c r="G227" s="1" t="s">
        <v>177</v>
      </c>
      <c r="H227" s="1" t="s">
        <v>35</v>
      </c>
      <c r="I227" s="1" t="s">
        <v>36</v>
      </c>
      <c r="J227" s="1" t="s">
        <v>25</v>
      </c>
      <c r="K227" s="1" t="s">
        <v>26</v>
      </c>
      <c r="L227">
        <v>450</v>
      </c>
      <c r="M227">
        <v>31</v>
      </c>
      <c r="N227" s="1" t="s">
        <v>37</v>
      </c>
      <c r="O227" s="1" t="s">
        <v>42</v>
      </c>
      <c r="P227" s="1" t="s">
        <v>28</v>
      </c>
      <c r="Q227" s="1" t="s">
        <v>37</v>
      </c>
      <c r="R227">
        <v>2.61</v>
      </c>
      <c r="S227" s="1" t="s">
        <v>318</v>
      </c>
    </row>
    <row r="228" spans="1:19" x14ac:dyDescent="0.25">
      <c r="A228">
        <v>261</v>
      </c>
      <c r="B228" s="1" t="s">
        <v>327</v>
      </c>
      <c r="C228" s="1" t="s">
        <v>328</v>
      </c>
      <c r="D228">
        <v>5.4</v>
      </c>
      <c r="E228">
        <v>0.7</v>
      </c>
      <c r="F228" s="1" t="s">
        <v>21</v>
      </c>
      <c r="G228" s="1" t="s">
        <v>149</v>
      </c>
      <c r="H228" s="1" t="s">
        <v>35</v>
      </c>
      <c r="I228" s="1" t="s">
        <v>36</v>
      </c>
      <c r="J228" s="1" t="s">
        <v>25</v>
      </c>
      <c r="K228" s="1" t="s">
        <v>26</v>
      </c>
      <c r="L228">
        <v>408</v>
      </c>
      <c r="M228">
        <v>14</v>
      </c>
      <c r="N228" s="1" t="s">
        <v>28</v>
      </c>
      <c r="O228" s="1" t="s">
        <v>28</v>
      </c>
      <c r="P228" s="1" t="s">
        <v>27</v>
      </c>
      <c r="Q228" s="1" t="s">
        <v>27</v>
      </c>
      <c r="R228">
        <v>2.59</v>
      </c>
      <c r="S228" s="1" t="s">
        <v>39</v>
      </c>
    </row>
    <row r="229" spans="1:19" x14ac:dyDescent="0.25">
      <c r="A229">
        <v>557</v>
      </c>
      <c r="B229" s="1" t="s">
        <v>331</v>
      </c>
      <c r="C229" s="1" t="s">
        <v>332</v>
      </c>
      <c r="D229">
        <v>6.3</v>
      </c>
      <c r="E229">
        <v>12.2</v>
      </c>
      <c r="F229" s="1" t="s">
        <v>21</v>
      </c>
      <c r="G229" s="1" t="s">
        <v>104</v>
      </c>
      <c r="H229" s="1" t="s">
        <v>35</v>
      </c>
      <c r="I229" s="1" t="s">
        <v>36</v>
      </c>
      <c r="J229" s="1" t="s">
        <v>25</v>
      </c>
      <c r="K229" s="1" t="s">
        <v>26</v>
      </c>
      <c r="L229">
        <v>362</v>
      </c>
      <c r="M229">
        <v>16</v>
      </c>
      <c r="N229" s="1" t="s">
        <v>28</v>
      </c>
      <c r="O229" s="1" t="s">
        <v>27</v>
      </c>
      <c r="P229" s="1" t="s">
        <v>27</v>
      </c>
      <c r="Q229" s="1" t="s">
        <v>42</v>
      </c>
      <c r="R229">
        <v>2.54</v>
      </c>
      <c r="S229" s="1" t="s">
        <v>39</v>
      </c>
    </row>
    <row r="230" spans="1:19" x14ac:dyDescent="0.25">
      <c r="A230">
        <v>105</v>
      </c>
      <c r="B230" s="1" t="s">
        <v>333</v>
      </c>
      <c r="C230" s="1" t="s">
        <v>334</v>
      </c>
      <c r="D230">
        <v>5.9</v>
      </c>
      <c r="E230">
        <v>0.1</v>
      </c>
      <c r="F230" s="1" t="s">
        <v>21</v>
      </c>
      <c r="G230" s="1" t="s">
        <v>63</v>
      </c>
      <c r="H230" s="1" t="s">
        <v>35</v>
      </c>
      <c r="I230" s="1" t="s">
        <v>36</v>
      </c>
      <c r="J230" s="1" t="s">
        <v>25</v>
      </c>
      <c r="K230" s="1" t="s">
        <v>26</v>
      </c>
      <c r="L230">
        <v>267</v>
      </c>
      <c r="M230">
        <v>15</v>
      </c>
      <c r="N230" s="1" t="s">
        <v>42</v>
      </c>
      <c r="O230" s="1" t="s">
        <v>28</v>
      </c>
      <c r="P230" s="1" t="s">
        <v>27</v>
      </c>
      <c r="Q230" s="1" t="s">
        <v>27</v>
      </c>
      <c r="R230">
        <v>2.54</v>
      </c>
      <c r="S230" s="1" t="s">
        <v>39</v>
      </c>
    </row>
    <row r="231" spans="1:19" x14ac:dyDescent="0.25">
      <c r="A231">
        <v>70</v>
      </c>
      <c r="B231" s="1" t="s">
        <v>339</v>
      </c>
      <c r="C231" s="1" t="s">
        <v>340</v>
      </c>
      <c r="D231">
        <v>6</v>
      </c>
      <c r="E231">
        <v>0.9</v>
      </c>
      <c r="F231" s="1" t="s">
        <v>274</v>
      </c>
      <c r="G231" s="1" t="s">
        <v>96</v>
      </c>
      <c r="H231" s="1" t="s">
        <v>35</v>
      </c>
      <c r="I231" s="1" t="s">
        <v>36</v>
      </c>
      <c r="J231" s="1" t="s">
        <v>25</v>
      </c>
      <c r="K231" s="1" t="s">
        <v>29</v>
      </c>
      <c r="L231">
        <v>294</v>
      </c>
      <c r="M231">
        <v>15</v>
      </c>
      <c r="N231" s="1" t="s">
        <v>42</v>
      </c>
      <c r="O231" s="1" t="s">
        <v>28</v>
      </c>
      <c r="P231" s="1" t="s">
        <v>27</v>
      </c>
      <c r="Q231" s="1" t="s">
        <v>42</v>
      </c>
      <c r="R231">
        <v>2.5</v>
      </c>
      <c r="S231" s="1" t="s">
        <v>39</v>
      </c>
    </row>
    <row r="232" spans="1:19" x14ac:dyDescent="0.25">
      <c r="A232">
        <v>26</v>
      </c>
      <c r="B232" s="1" t="s">
        <v>335</v>
      </c>
      <c r="C232" s="1" t="s">
        <v>336</v>
      </c>
      <c r="D232">
        <v>7.6</v>
      </c>
      <c r="E232">
        <v>8.4</v>
      </c>
      <c r="F232" s="1" t="s">
        <v>125</v>
      </c>
      <c r="G232" s="1" t="s">
        <v>104</v>
      </c>
      <c r="H232" s="1" t="s">
        <v>107</v>
      </c>
      <c r="I232" s="1" t="s">
        <v>108</v>
      </c>
      <c r="J232" s="1" t="s">
        <v>25</v>
      </c>
      <c r="K232" s="1" t="s">
        <v>26</v>
      </c>
      <c r="L232">
        <v>437</v>
      </c>
      <c r="M232">
        <v>19</v>
      </c>
      <c r="N232" s="1" t="s">
        <v>27</v>
      </c>
      <c r="O232" s="1" t="s">
        <v>28</v>
      </c>
      <c r="P232" s="1" t="s">
        <v>37</v>
      </c>
      <c r="Q232" s="1" t="s">
        <v>27</v>
      </c>
      <c r="R232">
        <v>2.5</v>
      </c>
      <c r="S232" s="1" t="s">
        <v>146</v>
      </c>
    </row>
    <row r="233" spans="1:19" x14ac:dyDescent="0.25">
      <c r="A233">
        <v>411</v>
      </c>
      <c r="B233" s="1" t="s">
        <v>337</v>
      </c>
      <c r="C233" s="1" t="s">
        <v>338</v>
      </c>
      <c r="D233">
        <v>15.6</v>
      </c>
      <c r="E233">
        <v>73.8</v>
      </c>
      <c r="F233" s="1" t="s">
        <v>21</v>
      </c>
      <c r="G233" s="1" t="s">
        <v>54</v>
      </c>
      <c r="H233" s="1" t="s">
        <v>107</v>
      </c>
      <c r="I233" s="1" t="s">
        <v>108</v>
      </c>
      <c r="J233" s="1" t="s">
        <v>25</v>
      </c>
      <c r="K233" s="1" t="s">
        <v>26</v>
      </c>
      <c r="L233">
        <v>450</v>
      </c>
      <c r="M233">
        <v>39</v>
      </c>
      <c r="N233" s="1" t="s">
        <v>26</v>
      </c>
      <c r="O233" s="1" t="s">
        <v>28</v>
      </c>
      <c r="P233" s="1" t="s">
        <v>27</v>
      </c>
      <c r="Q233" s="1" t="s">
        <v>38</v>
      </c>
      <c r="R233">
        <v>2.5</v>
      </c>
      <c r="S233" s="1" t="s">
        <v>318</v>
      </c>
    </row>
    <row r="234" spans="1:19" x14ac:dyDescent="0.25">
      <c r="A234">
        <v>464</v>
      </c>
      <c r="B234" s="1" t="s">
        <v>347</v>
      </c>
      <c r="C234" s="1" t="s">
        <v>348</v>
      </c>
      <c r="D234">
        <v>6.2</v>
      </c>
      <c r="E234">
        <v>18.600000000000001</v>
      </c>
      <c r="F234" s="1" t="s">
        <v>21</v>
      </c>
      <c r="G234" s="1" t="s">
        <v>80</v>
      </c>
      <c r="H234" s="1" t="s">
        <v>107</v>
      </c>
      <c r="I234" s="1" t="s">
        <v>108</v>
      </c>
      <c r="J234" s="1" t="s">
        <v>25</v>
      </c>
      <c r="K234" s="1" t="s">
        <v>26</v>
      </c>
      <c r="L234">
        <v>441</v>
      </c>
      <c r="M234">
        <v>15</v>
      </c>
      <c r="N234" s="1" t="s">
        <v>42</v>
      </c>
      <c r="O234" s="1" t="s">
        <v>42</v>
      </c>
      <c r="P234" s="1" t="s">
        <v>42</v>
      </c>
      <c r="Q234" s="1" t="s">
        <v>27</v>
      </c>
      <c r="R234">
        <v>2.42</v>
      </c>
      <c r="S234" s="1" t="s">
        <v>39</v>
      </c>
    </row>
    <row r="235" spans="1:19" x14ac:dyDescent="0.25">
      <c r="A235">
        <v>533</v>
      </c>
      <c r="B235" s="1" t="s">
        <v>353</v>
      </c>
      <c r="C235" s="1" t="s">
        <v>354</v>
      </c>
      <c r="D235">
        <v>5.4</v>
      </c>
      <c r="E235">
        <v>1.9</v>
      </c>
      <c r="F235" s="1" t="s">
        <v>21</v>
      </c>
      <c r="G235" s="1" t="s">
        <v>165</v>
      </c>
      <c r="H235" s="1" t="s">
        <v>23</v>
      </c>
      <c r="I235" s="1" t="s">
        <v>24</v>
      </c>
      <c r="J235" s="1" t="s">
        <v>25</v>
      </c>
      <c r="K235" s="1" t="s">
        <v>29</v>
      </c>
      <c r="L235">
        <v>360</v>
      </c>
      <c r="M235">
        <v>13</v>
      </c>
      <c r="N235" s="1" t="s">
        <v>28</v>
      </c>
      <c r="O235" s="1" t="s">
        <v>28</v>
      </c>
      <c r="P235" s="1" t="s">
        <v>42</v>
      </c>
      <c r="Q235" s="1" t="s">
        <v>42</v>
      </c>
      <c r="R235">
        <v>2.41</v>
      </c>
      <c r="S235" s="1" t="s">
        <v>39</v>
      </c>
    </row>
    <row r="236" spans="1:19" x14ac:dyDescent="0.25">
      <c r="A236">
        <v>222</v>
      </c>
      <c r="B236" s="1" t="s">
        <v>365</v>
      </c>
      <c r="C236" s="1" t="s">
        <v>366</v>
      </c>
      <c r="D236">
        <v>6</v>
      </c>
      <c r="E236">
        <v>0.6</v>
      </c>
      <c r="F236" s="1" t="s">
        <v>21</v>
      </c>
      <c r="G236" s="1" t="s">
        <v>91</v>
      </c>
      <c r="H236" s="1" t="s">
        <v>107</v>
      </c>
      <c r="I236" s="1" t="s">
        <v>108</v>
      </c>
      <c r="J236" s="1" t="s">
        <v>25</v>
      </c>
      <c r="K236" s="1" t="s">
        <v>26</v>
      </c>
      <c r="L236">
        <v>298</v>
      </c>
      <c r="M236">
        <v>14</v>
      </c>
      <c r="N236" s="1" t="s">
        <v>42</v>
      </c>
      <c r="O236" s="1" t="s">
        <v>28</v>
      </c>
      <c r="P236" s="1" t="s">
        <v>42</v>
      </c>
      <c r="Q236" s="1" t="s">
        <v>27</v>
      </c>
      <c r="R236">
        <v>2.33</v>
      </c>
      <c r="S236" s="1" t="s">
        <v>39</v>
      </c>
    </row>
    <row r="237" spans="1:19" x14ac:dyDescent="0.25">
      <c r="A237">
        <v>570</v>
      </c>
      <c r="B237" s="1" t="s">
        <v>387</v>
      </c>
      <c r="C237" s="1" t="s">
        <v>388</v>
      </c>
      <c r="D237">
        <v>5.4</v>
      </c>
      <c r="E237">
        <v>0.2</v>
      </c>
      <c r="F237" s="1" t="s">
        <v>21</v>
      </c>
      <c r="G237" s="1" t="s">
        <v>149</v>
      </c>
      <c r="H237" s="1" t="s">
        <v>35</v>
      </c>
      <c r="I237" s="1" t="s">
        <v>36</v>
      </c>
      <c r="J237" s="1" t="s">
        <v>25</v>
      </c>
      <c r="K237" s="1" t="s">
        <v>29</v>
      </c>
      <c r="L237">
        <v>226</v>
      </c>
      <c r="M237">
        <v>12</v>
      </c>
      <c r="N237" s="1" t="s">
        <v>42</v>
      </c>
      <c r="O237" s="1" t="s">
        <v>28</v>
      </c>
      <c r="P237" s="1" t="s">
        <v>28</v>
      </c>
      <c r="Q237" s="1" t="s">
        <v>42</v>
      </c>
      <c r="R237">
        <v>2.2200000000000002</v>
      </c>
      <c r="S237" s="1" t="s">
        <v>39</v>
      </c>
    </row>
    <row r="238" spans="1:19" x14ac:dyDescent="0.25">
      <c r="A238">
        <v>491</v>
      </c>
      <c r="B238" s="1" t="s">
        <v>409</v>
      </c>
      <c r="C238" s="1" t="s">
        <v>410</v>
      </c>
      <c r="D238">
        <v>5.8</v>
      </c>
      <c r="E238">
        <v>2.6</v>
      </c>
      <c r="F238" s="1" t="s">
        <v>21</v>
      </c>
      <c r="G238" s="1" t="s">
        <v>170</v>
      </c>
      <c r="H238" s="1" t="s">
        <v>107</v>
      </c>
      <c r="I238" s="1" t="s">
        <v>108</v>
      </c>
      <c r="J238" s="1" t="s">
        <v>25</v>
      </c>
      <c r="K238" s="1" t="s">
        <v>26</v>
      </c>
      <c r="L238">
        <v>257</v>
      </c>
      <c r="M238">
        <v>12</v>
      </c>
      <c r="N238" s="1" t="s">
        <v>42</v>
      </c>
      <c r="O238" s="1" t="s">
        <v>28</v>
      </c>
      <c r="P238" s="1" t="s">
        <v>28</v>
      </c>
      <c r="Q238" s="1" t="s">
        <v>27</v>
      </c>
      <c r="R238">
        <v>2.0699999999999998</v>
      </c>
      <c r="S238" s="1" t="s">
        <v>39</v>
      </c>
    </row>
    <row r="239" spans="1:19" x14ac:dyDescent="0.25">
      <c r="A239">
        <v>36</v>
      </c>
      <c r="B239" s="1" t="s">
        <v>411</v>
      </c>
      <c r="C239" s="1" t="s">
        <v>412</v>
      </c>
      <c r="D239">
        <v>4.4000000000000004</v>
      </c>
      <c r="E239">
        <v>0.5</v>
      </c>
      <c r="F239" s="1" t="s">
        <v>274</v>
      </c>
      <c r="G239" s="1" t="s">
        <v>215</v>
      </c>
      <c r="H239" s="1" t="s">
        <v>23</v>
      </c>
      <c r="I239" s="1" t="s">
        <v>24</v>
      </c>
      <c r="J239" s="1" t="s">
        <v>25</v>
      </c>
      <c r="K239" s="1" t="s">
        <v>29</v>
      </c>
      <c r="L239">
        <v>335</v>
      </c>
      <c r="M239">
        <v>9</v>
      </c>
      <c r="N239" s="1" t="s">
        <v>28</v>
      </c>
      <c r="O239" s="1" t="s">
        <v>28</v>
      </c>
      <c r="P239" s="1" t="s">
        <v>42</v>
      </c>
      <c r="Q239" s="1" t="s">
        <v>42</v>
      </c>
      <c r="R239">
        <v>2.0499999999999998</v>
      </c>
      <c r="S239" s="1" t="s">
        <v>31</v>
      </c>
    </row>
    <row r="240" spans="1:19" x14ac:dyDescent="0.25">
      <c r="A240">
        <v>389</v>
      </c>
      <c r="B240" s="1" t="s">
        <v>428</v>
      </c>
      <c r="C240" s="1" t="s">
        <v>429</v>
      </c>
      <c r="D240">
        <v>5.9</v>
      </c>
      <c r="E240">
        <v>1</v>
      </c>
      <c r="F240" s="1" t="s">
        <v>21</v>
      </c>
      <c r="G240" s="1" t="s">
        <v>54</v>
      </c>
      <c r="H240" s="1" t="s">
        <v>23</v>
      </c>
      <c r="I240" s="1" t="s">
        <v>24</v>
      </c>
      <c r="J240" s="1" t="s">
        <v>25</v>
      </c>
      <c r="K240" s="1" t="s">
        <v>37</v>
      </c>
      <c r="L240">
        <v>213</v>
      </c>
      <c r="M240">
        <v>11</v>
      </c>
      <c r="N240" s="1" t="s">
        <v>28</v>
      </c>
      <c r="O240" s="1" t="s">
        <v>28</v>
      </c>
      <c r="P240" s="1" t="s">
        <v>42</v>
      </c>
      <c r="Q240" s="1" t="s">
        <v>42</v>
      </c>
      <c r="R240">
        <v>1.86</v>
      </c>
      <c r="S240" s="1" t="s">
        <v>39</v>
      </c>
    </row>
    <row r="241" spans="1:19" x14ac:dyDescent="0.25">
      <c r="A241">
        <v>61</v>
      </c>
      <c r="B241" s="1" t="s">
        <v>430</v>
      </c>
      <c r="C241" s="1" t="s">
        <v>431</v>
      </c>
      <c r="D241">
        <v>5.4</v>
      </c>
      <c r="E241">
        <v>3</v>
      </c>
      <c r="F241" s="1" t="s">
        <v>21</v>
      </c>
      <c r="G241" s="1" t="s">
        <v>96</v>
      </c>
      <c r="H241" s="1" t="s">
        <v>23</v>
      </c>
      <c r="I241" s="1" t="s">
        <v>24</v>
      </c>
      <c r="J241" s="1" t="s">
        <v>25</v>
      </c>
      <c r="K241" s="1" t="s">
        <v>26</v>
      </c>
      <c r="L241">
        <v>450</v>
      </c>
      <c r="M241">
        <v>10</v>
      </c>
      <c r="N241" s="1" t="s">
        <v>28</v>
      </c>
      <c r="O241" s="1" t="s">
        <v>28</v>
      </c>
      <c r="P241" s="1" t="s">
        <v>28</v>
      </c>
      <c r="Q241" s="1" t="s">
        <v>27</v>
      </c>
      <c r="R241">
        <v>1.85</v>
      </c>
      <c r="S241" s="1" t="s">
        <v>39</v>
      </c>
    </row>
    <row r="242" spans="1:19" x14ac:dyDescent="0.25">
      <c r="A242">
        <v>499</v>
      </c>
      <c r="B242" s="1" t="s">
        <v>456</v>
      </c>
      <c r="C242" s="1" t="s">
        <v>457</v>
      </c>
      <c r="D242">
        <v>5.4</v>
      </c>
      <c r="E242">
        <v>7.6</v>
      </c>
      <c r="F242" s="1" t="s">
        <v>125</v>
      </c>
      <c r="G242" s="1" t="s">
        <v>122</v>
      </c>
      <c r="H242" s="1" t="s">
        <v>23</v>
      </c>
      <c r="I242" s="1" t="s">
        <v>24</v>
      </c>
      <c r="J242" s="1" t="s">
        <v>25</v>
      </c>
      <c r="K242" s="1" t="s">
        <v>37</v>
      </c>
      <c r="L242">
        <v>198</v>
      </c>
      <c r="M242">
        <v>9</v>
      </c>
      <c r="N242" s="1" t="s">
        <v>28</v>
      </c>
      <c r="O242" s="1" t="s">
        <v>28</v>
      </c>
      <c r="P242" s="1" t="s">
        <v>42</v>
      </c>
      <c r="Q242" s="1" t="s">
        <v>42</v>
      </c>
      <c r="R242">
        <v>1.67</v>
      </c>
      <c r="S242" s="1" t="s">
        <v>39</v>
      </c>
    </row>
    <row r="243" spans="1:19" x14ac:dyDescent="0.25">
      <c r="A243">
        <v>166</v>
      </c>
      <c r="B243" s="1" t="s">
        <v>478</v>
      </c>
      <c r="C243" s="1" t="s">
        <v>479</v>
      </c>
      <c r="D243">
        <v>6.5</v>
      </c>
      <c r="E243">
        <v>1.5</v>
      </c>
      <c r="F243" s="1" t="s">
        <v>21</v>
      </c>
      <c r="G243" s="1" t="s">
        <v>215</v>
      </c>
      <c r="H243" s="1" t="s">
        <v>107</v>
      </c>
      <c r="I243" s="1" t="s">
        <v>108</v>
      </c>
      <c r="J243" s="1" t="s">
        <v>25</v>
      </c>
      <c r="K243" s="1" t="s">
        <v>29</v>
      </c>
      <c r="L243">
        <v>286</v>
      </c>
      <c r="M243">
        <v>10</v>
      </c>
      <c r="N243" s="1" t="s">
        <v>42</v>
      </c>
      <c r="O243" s="1" t="s">
        <v>28</v>
      </c>
      <c r="P243" s="1" t="s">
        <v>42</v>
      </c>
      <c r="Q243" s="1" t="s">
        <v>42</v>
      </c>
      <c r="R243">
        <v>1.54</v>
      </c>
      <c r="S243" s="1" t="s">
        <v>39</v>
      </c>
    </row>
    <row r="244" spans="1:19" x14ac:dyDescent="0.25">
      <c r="A244">
        <v>398</v>
      </c>
      <c r="B244" s="1" t="s">
        <v>499</v>
      </c>
      <c r="C244" s="1" t="s">
        <v>500</v>
      </c>
      <c r="D244">
        <v>6.9</v>
      </c>
      <c r="E244">
        <v>1.8</v>
      </c>
      <c r="F244" s="1" t="s">
        <v>488</v>
      </c>
      <c r="G244" s="1" t="s">
        <v>54</v>
      </c>
      <c r="H244" s="1" t="s">
        <v>35</v>
      </c>
      <c r="I244" s="1" t="s">
        <v>36</v>
      </c>
      <c r="J244" s="1" t="s">
        <v>25</v>
      </c>
      <c r="K244" s="1" t="s">
        <v>29</v>
      </c>
      <c r="L244">
        <v>217</v>
      </c>
      <c r="M244">
        <v>9</v>
      </c>
      <c r="N244" s="1" t="s">
        <v>28</v>
      </c>
      <c r="O244" s="1" t="s">
        <v>27</v>
      </c>
      <c r="P244" s="1" t="s">
        <v>28</v>
      </c>
      <c r="Q244" s="1" t="s">
        <v>42</v>
      </c>
      <c r="R244">
        <v>1.3</v>
      </c>
      <c r="S244" s="1" t="s">
        <v>39</v>
      </c>
    </row>
    <row r="249" spans="1:19" x14ac:dyDescent="0.25">
      <c r="A249" t="s">
        <v>6</v>
      </c>
      <c r="B249" t="s">
        <v>552</v>
      </c>
      <c r="C249" t="s">
        <v>553</v>
      </c>
      <c r="D249" t="s">
        <v>554</v>
      </c>
    </row>
    <row r="250" spans="1:19" x14ac:dyDescent="0.25">
      <c r="A250" s="1" t="s">
        <v>96</v>
      </c>
      <c r="B250">
        <v>12</v>
      </c>
      <c r="C250">
        <v>3</v>
      </c>
      <c r="D250" s="1" t="s">
        <v>570</v>
      </c>
    </row>
    <row r="251" spans="1:19" x14ac:dyDescent="0.25">
      <c r="A251" s="1" t="s">
        <v>96</v>
      </c>
      <c r="B251">
        <v>17</v>
      </c>
      <c r="C251">
        <v>3</v>
      </c>
      <c r="D251" s="1" t="s">
        <v>570</v>
      </c>
    </row>
    <row r="252" spans="1:19" x14ac:dyDescent="0.25">
      <c r="A252" s="1" t="s">
        <v>96</v>
      </c>
      <c r="B252">
        <v>18</v>
      </c>
      <c r="C252">
        <v>3</v>
      </c>
      <c r="D252" s="1" t="s">
        <v>570</v>
      </c>
    </row>
    <row r="253" spans="1:19" x14ac:dyDescent="0.25">
      <c r="A253" s="1" t="s">
        <v>96</v>
      </c>
      <c r="B253">
        <v>22</v>
      </c>
      <c r="C253">
        <v>3</v>
      </c>
      <c r="D253" s="1" t="s">
        <v>570</v>
      </c>
    </row>
    <row r="254" spans="1:19" x14ac:dyDescent="0.25">
      <c r="A254" s="1" t="s">
        <v>96</v>
      </c>
      <c r="B254">
        <v>24</v>
      </c>
      <c r="C254">
        <v>3</v>
      </c>
      <c r="D254" s="1" t="s">
        <v>570</v>
      </c>
    </row>
    <row r="255" spans="1:19" x14ac:dyDescent="0.25">
      <c r="A255" s="1" t="s">
        <v>96</v>
      </c>
      <c r="B255">
        <v>25</v>
      </c>
      <c r="C255">
        <v>3</v>
      </c>
      <c r="D255" s="1" t="s">
        <v>570</v>
      </c>
    </row>
    <row r="256" spans="1:19" x14ac:dyDescent="0.25">
      <c r="A256" s="1" t="s">
        <v>96</v>
      </c>
      <c r="B256">
        <v>30</v>
      </c>
      <c r="C256">
        <v>3</v>
      </c>
      <c r="D256" s="1" t="s">
        <v>570</v>
      </c>
    </row>
    <row r="257" spans="1:4" x14ac:dyDescent="0.25">
      <c r="A257" s="1" t="s">
        <v>96</v>
      </c>
      <c r="B257">
        <v>32</v>
      </c>
      <c r="C257">
        <v>3</v>
      </c>
      <c r="D257" s="1" t="s">
        <v>570</v>
      </c>
    </row>
    <row r="258" spans="1:4" x14ac:dyDescent="0.25">
      <c r="A258" s="1" t="s">
        <v>96</v>
      </c>
      <c r="B258">
        <v>36</v>
      </c>
      <c r="C258">
        <v>3</v>
      </c>
      <c r="D258" s="1" t="s">
        <v>570</v>
      </c>
    </row>
    <row r="259" spans="1:4" x14ac:dyDescent="0.25">
      <c r="A259" s="1" t="s">
        <v>104</v>
      </c>
      <c r="B259">
        <v>7</v>
      </c>
      <c r="C259">
        <v>3</v>
      </c>
      <c r="D259" s="1" t="s">
        <v>570</v>
      </c>
    </row>
    <row r="260" spans="1:4" x14ac:dyDescent="0.25">
      <c r="A260" s="1" t="s">
        <v>104</v>
      </c>
      <c r="B260">
        <v>11</v>
      </c>
      <c r="C260">
        <v>3</v>
      </c>
      <c r="D260" s="1" t="s">
        <v>570</v>
      </c>
    </row>
    <row r="261" spans="1:4" x14ac:dyDescent="0.25">
      <c r="A261" s="1" t="s">
        <v>104</v>
      </c>
      <c r="B261">
        <v>13</v>
      </c>
      <c r="C261">
        <v>3</v>
      </c>
      <c r="D261" s="1" t="s">
        <v>570</v>
      </c>
    </row>
    <row r="262" spans="1:4" x14ac:dyDescent="0.25">
      <c r="A262" s="1" t="s">
        <v>104</v>
      </c>
      <c r="B262">
        <v>14</v>
      </c>
      <c r="C262">
        <v>3</v>
      </c>
      <c r="D262" s="1" t="s">
        <v>570</v>
      </c>
    </row>
    <row r="263" spans="1:4" x14ac:dyDescent="0.25">
      <c r="A263" s="1" t="s">
        <v>104</v>
      </c>
      <c r="B263">
        <v>17</v>
      </c>
      <c r="C263">
        <v>3</v>
      </c>
      <c r="D263" s="1" t="s">
        <v>570</v>
      </c>
    </row>
    <row r="264" spans="1:4" x14ac:dyDescent="0.25">
      <c r="A264" s="1" t="s">
        <v>104</v>
      </c>
      <c r="B264">
        <v>18</v>
      </c>
      <c r="C264">
        <v>3</v>
      </c>
      <c r="D264" s="1" t="s">
        <v>570</v>
      </c>
    </row>
    <row r="265" spans="1:4" x14ac:dyDescent="0.25">
      <c r="A265" s="1" t="s">
        <v>104</v>
      </c>
      <c r="B265">
        <v>33</v>
      </c>
      <c r="C265">
        <v>3</v>
      </c>
      <c r="D265" s="1" t="s">
        <v>570</v>
      </c>
    </row>
    <row r="266" spans="1:4" x14ac:dyDescent="0.25">
      <c r="A266" s="1" t="s">
        <v>104</v>
      </c>
      <c r="B266">
        <v>35</v>
      </c>
      <c r="C266">
        <v>3</v>
      </c>
      <c r="D266" s="1" t="s">
        <v>570</v>
      </c>
    </row>
    <row r="267" spans="1:4" x14ac:dyDescent="0.25">
      <c r="A267" s="1" t="s">
        <v>104</v>
      </c>
      <c r="B267">
        <v>37</v>
      </c>
      <c r="C267">
        <v>3</v>
      </c>
      <c r="D267" s="1" t="s">
        <v>570</v>
      </c>
    </row>
    <row r="268" spans="1:4" x14ac:dyDescent="0.25">
      <c r="A268" s="1" t="s">
        <v>215</v>
      </c>
      <c r="B268">
        <v>7</v>
      </c>
      <c r="C268">
        <v>3</v>
      </c>
      <c r="D268" s="1" t="s">
        <v>570</v>
      </c>
    </row>
    <row r="269" spans="1:4" x14ac:dyDescent="0.25">
      <c r="A269" s="1" t="s">
        <v>215</v>
      </c>
      <c r="B269">
        <v>19</v>
      </c>
      <c r="C269">
        <v>3</v>
      </c>
      <c r="D269" s="1" t="s">
        <v>570</v>
      </c>
    </row>
    <row r="270" spans="1:4" x14ac:dyDescent="0.25">
      <c r="A270" s="1" t="s">
        <v>215</v>
      </c>
      <c r="B270">
        <v>20</v>
      </c>
      <c r="C270">
        <v>3</v>
      </c>
      <c r="D270" s="1" t="s">
        <v>570</v>
      </c>
    </row>
    <row r="271" spans="1:4" x14ac:dyDescent="0.25">
      <c r="A271" s="1" t="s">
        <v>215</v>
      </c>
      <c r="B271">
        <v>22</v>
      </c>
      <c r="C271">
        <v>3</v>
      </c>
      <c r="D271" s="1" t="s">
        <v>570</v>
      </c>
    </row>
    <row r="272" spans="1:4" x14ac:dyDescent="0.25">
      <c r="A272" s="1" t="s">
        <v>215</v>
      </c>
      <c r="B272">
        <v>24</v>
      </c>
      <c r="C272">
        <v>3</v>
      </c>
      <c r="D272" s="1" t="s">
        <v>570</v>
      </c>
    </row>
    <row r="273" spans="1:4" x14ac:dyDescent="0.25">
      <c r="A273" s="1" t="s">
        <v>215</v>
      </c>
      <c r="B273">
        <v>26</v>
      </c>
      <c r="C273">
        <v>3</v>
      </c>
      <c r="D273" s="1" t="s">
        <v>570</v>
      </c>
    </row>
    <row r="274" spans="1:4" x14ac:dyDescent="0.25">
      <c r="A274" s="1" t="s">
        <v>215</v>
      </c>
      <c r="B274">
        <v>30</v>
      </c>
      <c r="C274">
        <v>3</v>
      </c>
      <c r="D274" s="1" t="s">
        <v>570</v>
      </c>
    </row>
    <row r="275" spans="1:4" x14ac:dyDescent="0.25">
      <c r="A275" s="1" t="s">
        <v>215</v>
      </c>
      <c r="B275">
        <v>34</v>
      </c>
      <c r="C275">
        <v>3</v>
      </c>
      <c r="D275" s="1" t="s">
        <v>570</v>
      </c>
    </row>
    <row r="276" spans="1:4" x14ac:dyDescent="0.25">
      <c r="A276" s="1" t="s">
        <v>215</v>
      </c>
      <c r="B276">
        <v>35</v>
      </c>
      <c r="C276">
        <v>3</v>
      </c>
      <c r="D276" s="1" t="s">
        <v>570</v>
      </c>
    </row>
    <row r="277" spans="1:4" x14ac:dyDescent="0.25">
      <c r="A277" s="1" t="s">
        <v>63</v>
      </c>
      <c r="B277">
        <v>6</v>
      </c>
      <c r="C277">
        <v>3</v>
      </c>
      <c r="D277" s="1" t="s">
        <v>570</v>
      </c>
    </row>
    <row r="278" spans="1:4" x14ac:dyDescent="0.25">
      <c r="A278" s="1" t="s">
        <v>63</v>
      </c>
      <c r="B278">
        <v>15</v>
      </c>
      <c r="C278">
        <v>3</v>
      </c>
      <c r="D278" s="1" t="s">
        <v>570</v>
      </c>
    </row>
    <row r="279" spans="1:4" x14ac:dyDescent="0.25">
      <c r="A279" s="1" t="s">
        <v>63</v>
      </c>
      <c r="B279">
        <v>22</v>
      </c>
      <c r="C279">
        <v>3</v>
      </c>
      <c r="D279" s="1" t="s">
        <v>570</v>
      </c>
    </row>
    <row r="280" spans="1:4" x14ac:dyDescent="0.25">
      <c r="A280" s="1" t="s">
        <v>63</v>
      </c>
      <c r="B280">
        <v>24</v>
      </c>
      <c r="C280">
        <v>3</v>
      </c>
      <c r="D280" s="1" t="s">
        <v>570</v>
      </c>
    </row>
    <row r="281" spans="1:4" x14ac:dyDescent="0.25">
      <c r="A281" s="1" t="s">
        <v>63</v>
      </c>
      <c r="B281">
        <v>25</v>
      </c>
      <c r="C281">
        <v>3</v>
      </c>
      <c r="D281" s="1" t="s">
        <v>570</v>
      </c>
    </row>
    <row r="282" spans="1:4" x14ac:dyDescent="0.25">
      <c r="A282" s="1" t="s">
        <v>63</v>
      </c>
      <c r="B282">
        <v>27</v>
      </c>
      <c r="C282">
        <v>3</v>
      </c>
      <c r="D282" s="1" t="s">
        <v>570</v>
      </c>
    </row>
    <row r="283" spans="1:4" x14ac:dyDescent="0.25">
      <c r="A283" s="1" t="s">
        <v>63</v>
      </c>
      <c r="B283">
        <v>29</v>
      </c>
      <c r="C283">
        <v>3</v>
      </c>
      <c r="D283" s="1" t="s">
        <v>570</v>
      </c>
    </row>
    <row r="284" spans="1:4" x14ac:dyDescent="0.25">
      <c r="A284" s="1" t="s">
        <v>63</v>
      </c>
      <c r="B284">
        <v>31</v>
      </c>
      <c r="C284">
        <v>3</v>
      </c>
      <c r="D284" s="1" t="s">
        <v>570</v>
      </c>
    </row>
    <row r="285" spans="1:4" x14ac:dyDescent="0.25">
      <c r="A285" s="1" t="s">
        <v>34</v>
      </c>
      <c r="B285">
        <v>6</v>
      </c>
      <c r="C285">
        <v>3</v>
      </c>
      <c r="D285" s="1" t="s">
        <v>570</v>
      </c>
    </row>
    <row r="286" spans="1:4" x14ac:dyDescent="0.25">
      <c r="A286" s="1" t="s">
        <v>34</v>
      </c>
      <c r="B286">
        <v>13</v>
      </c>
      <c r="C286">
        <v>3</v>
      </c>
      <c r="D286" s="1" t="s">
        <v>570</v>
      </c>
    </row>
    <row r="287" spans="1:4" x14ac:dyDescent="0.25">
      <c r="A287" s="1" t="s">
        <v>34</v>
      </c>
      <c r="B287">
        <v>14</v>
      </c>
      <c r="C287">
        <v>3</v>
      </c>
      <c r="D287" s="1" t="s">
        <v>570</v>
      </c>
    </row>
    <row r="288" spans="1:4" x14ac:dyDescent="0.25">
      <c r="A288" s="1" t="s">
        <v>34</v>
      </c>
      <c r="B288">
        <v>17</v>
      </c>
      <c r="C288">
        <v>3</v>
      </c>
      <c r="D288" s="1" t="s">
        <v>570</v>
      </c>
    </row>
    <row r="289" spans="1:4" x14ac:dyDescent="0.25">
      <c r="A289" s="1" t="s">
        <v>34</v>
      </c>
      <c r="B289">
        <v>18</v>
      </c>
      <c r="C289">
        <v>3</v>
      </c>
      <c r="D289" s="1" t="s">
        <v>570</v>
      </c>
    </row>
    <row r="290" spans="1:4" x14ac:dyDescent="0.25">
      <c r="A290" s="1" t="s">
        <v>34</v>
      </c>
      <c r="B290">
        <v>21</v>
      </c>
      <c r="C290">
        <v>3</v>
      </c>
      <c r="D290" s="1" t="s">
        <v>570</v>
      </c>
    </row>
    <row r="291" spans="1:4" x14ac:dyDescent="0.25">
      <c r="A291" s="1" t="s">
        <v>34</v>
      </c>
      <c r="B291">
        <v>23</v>
      </c>
      <c r="C291">
        <v>3</v>
      </c>
      <c r="D291" s="1" t="s">
        <v>570</v>
      </c>
    </row>
    <row r="292" spans="1:4" x14ac:dyDescent="0.25">
      <c r="A292" s="1" t="s">
        <v>34</v>
      </c>
      <c r="B292">
        <v>29</v>
      </c>
      <c r="C292">
        <v>3</v>
      </c>
      <c r="D292" s="1" t="s">
        <v>570</v>
      </c>
    </row>
    <row r="293" spans="1:4" x14ac:dyDescent="0.25">
      <c r="A293" s="1" t="s">
        <v>34</v>
      </c>
      <c r="B293">
        <v>31</v>
      </c>
      <c r="C293">
        <v>3</v>
      </c>
      <c r="D293" s="1" t="s">
        <v>570</v>
      </c>
    </row>
    <row r="294" spans="1:4" x14ac:dyDescent="0.25">
      <c r="A294" s="1" t="s">
        <v>34</v>
      </c>
      <c r="B294">
        <v>33</v>
      </c>
      <c r="C294">
        <v>3</v>
      </c>
      <c r="D294" s="1" t="s">
        <v>570</v>
      </c>
    </row>
    <row r="295" spans="1:4" x14ac:dyDescent="0.25">
      <c r="A295" s="1" t="s">
        <v>34</v>
      </c>
      <c r="B295">
        <v>36</v>
      </c>
      <c r="C295">
        <v>3</v>
      </c>
      <c r="D295" s="1" t="s">
        <v>570</v>
      </c>
    </row>
    <row r="296" spans="1:4" x14ac:dyDescent="0.25">
      <c r="A296" s="1" t="s">
        <v>158</v>
      </c>
      <c r="B296">
        <v>7</v>
      </c>
      <c r="C296">
        <v>3</v>
      </c>
      <c r="D296" s="1" t="s">
        <v>570</v>
      </c>
    </row>
    <row r="297" spans="1:4" x14ac:dyDescent="0.25">
      <c r="A297" s="1" t="s">
        <v>158</v>
      </c>
      <c r="B297">
        <v>10</v>
      </c>
      <c r="C297">
        <v>3</v>
      </c>
      <c r="D297" s="1" t="s">
        <v>570</v>
      </c>
    </row>
    <row r="298" spans="1:4" x14ac:dyDescent="0.25">
      <c r="A298" s="1" t="s">
        <v>158</v>
      </c>
      <c r="B298">
        <v>12</v>
      </c>
      <c r="C298">
        <v>3</v>
      </c>
      <c r="D298" s="1" t="s">
        <v>570</v>
      </c>
    </row>
    <row r="299" spans="1:4" x14ac:dyDescent="0.25">
      <c r="A299" s="1" t="s">
        <v>158</v>
      </c>
      <c r="B299">
        <v>20</v>
      </c>
      <c r="C299">
        <v>3</v>
      </c>
      <c r="D299" s="1" t="s">
        <v>570</v>
      </c>
    </row>
    <row r="300" spans="1:4" x14ac:dyDescent="0.25">
      <c r="A300" s="1" t="s">
        <v>158</v>
      </c>
      <c r="B300">
        <v>22</v>
      </c>
      <c r="C300">
        <v>3</v>
      </c>
      <c r="D300" s="1" t="s">
        <v>570</v>
      </c>
    </row>
    <row r="301" spans="1:4" x14ac:dyDescent="0.25">
      <c r="A301" s="1" t="s">
        <v>158</v>
      </c>
      <c r="B301">
        <v>25</v>
      </c>
      <c r="C301">
        <v>3</v>
      </c>
      <c r="D301" s="1" t="s">
        <v>570</v>
      </c>
    </row>
    <row r="302" spans="1:4" x14ac:dyDescent="0.25">
      <c r="A302" s="1" t="s">
        <v>158</v>
      </c>
      <c r="B302">
        <v>27</v>
      </c>
      <c r="C302">
        <v>3</v>
      </c>
      <c r="D302" s="1" t="s">
        <v>570</v>
      </c>
    </row>
    <row r="303" spans="1:4" x14ac:dyDescent="0.25">
      <c r="A303" s="1" t="s">
        <v>158</v>
      </c>
      <c r="B303">
        <v>35</v>
      </c>
      <c r="C303">
        <v>3</v>
      </c>
      <c r="D303" s="1" t="s">
        <v>570</v>
      </c>
    </row>
    <row r="304" spans="1:4" x14ac:dyDescent="0.25">
      <c r="A304" s="1" t="s">
        <v>158</v>
      </c>
      <c r="B304">
        <v>37</v>
      </c>
      <c r="C304">
        <v>3</v>
      </c>
      <c r="D304" s="1" t="s">
        <v>570</v>
      </c>
    </row>
    <row r="305" spans="1:4" x14ac:dyDescent="0.25">
      <c r="A305" s="1" t="s">
        <v>75</v>
      </c>
      <c r="B305">
        <v>7</v>
      </c>
      <c r="C305">
        <v>3</v>
      </c>
      <c r="D305" s="1" t="s">
        <v>570</v>
      </c>
    </row>
    <row r="306" spans="1:4" x14ac:dyDescent="0.25">
      <c r="A306" s="1" t="s">
        <v>75</v>
      </c>
      <c r="B306">
        <v>10</v>
      </c>
      <c r="C306">
        <v>3</v>
      </c>
      <c r="D306" s="1" t="s">
        <v>570</v>
      </c>
    </row>
    <row r="307" spans="1:4" x14ac:dyDescent="0.25">
      <c r="A307" s="1" t="s">
        <v>75</v>
      </c>
      <c r="B307">
        <v>12</v>
      </c>
      <c r="C307">
        <v>3</v>
      </c>
      <c r="D307" s="1" t="s">
        <v>570</v>
      </c>
    </row>
    <row r="308" spans="1:4" x14ac:dyDescent="0.25">
      <c r="A308" s="1" t="s">
        <v>75</v>
      </c>
      <c r="B308">
        <v>16</v>
      </c>
      <c r="C308">
        <v>3</v>
      </c>
      <c r="D308" s="1" t="s">
        <v>570</v>
      </c>
    </row>
    <row r="309" spans="1:4" x14ac:dyDescent="0.25">
      <c r="A309" s="1" t="s">
        <v>75</v>
      </c>
      <c r="B309">
        <v>22</v>
      </c>
      <c r="C309">
        <v>3</v>
      </c>
      <c r="D309" s="1" t="s">
        <v>570</v>
      </c>
    </row>
    <row r="310" spans="1:4" x14ac:dyDescent="0.25">
      <c r="A310" s="1" t="s">
        <v>75</v>
      </c>
      <c r="B310">
        <v>24</v>
      </c>
      <c r="C310">
        <v>3</v>
      </c>
      <c r="D310" s="1" t="s">
        <v>570</v>
      </c>
    </row>
    <row r="311" spans="1:4" x14ac:dyDescent="0.25">
      <c r="A311" s="1" t="s">
        <v>75</v>
      </c>
      <c r="B311">
        <v>26</v>
      </c>
      <c r="C311">
        <v>3</v>
      </c>
      <c r="D311" s="1" t="s">
        <v>570</v>
      </c>
    </row>
    <row r="312" spans="1:4" x14ac:dyDescent="0.25">
      <c r="A312" s="1" t="s">
        <v>75</v>
      </c>
      <c r="B312">
        <v>33</v>
      </c>
      <c r="C312">
        <v>3</v>
      </c>
      <c r="D312" s="1" t="s">
        <v>570</v>
      </c>
    </row>
    <row r="313" spans="1:4" x14ac:dyDescent="0.25">
      <c r="A313" s="1" t="s">
        <v>75</v>
      </c>
      <c r="B313">
        <v>35</v>
      </c>
      <c r="C313">
        <v>3</v>
      </c>
      <c r="D313" s="1" t="s">
        <v>570</v>
      </c>
    </row>
    <row r="314" spans="1:4" x14ac:dyDescent="0.25">
      <c r="A314" s="1" t="s">
        <v>75</v>
      </c>
      <c r="B314">
        <v>37</v>
      </c>
      <c r="C314">
        <v>3</v>
      </c>
      <c r="D314" s="1" t="s">
        <v>570</v>
      </c>
    </row>
    <row r="315" spans="1:4" x14ac:dyDescent="0.25">
      <c r="A315" s="1" t="s">
        <v>91</v>
      </c>
      <c r="B315">
        <v>9</v>
      </c>
      <c r="C315">
        <v>3</v>
      </c>
      <c r="D315" s="1" t="s">
        <v>570</v>
      </c>
    </row>
    <row r="316" spans="1:4" x14ac:dyDescent="0.25">
      <c r="A316" s="1" t="s">
        <v>91</v>
      </c>
      <c r="B316">
        <v>14</v>
      </c>
      <c r="C316">
        <v>3</v>
      </c>
      <c r="D316" s="1" t="s">
        <v>570</v>
      </c>
    </row>
    <row r="317" spans="1:4" x14ac:dyDescent="0.25">
      <c r="A317" s="1" t="s">
        <v>91</v>
      </c>
      <c r="B317">
        <v>16</v>
      </c>
      <c r="C317">
        <v>3</v>
      </c>
      <c r="D317" s="1" t="s">
        <v>570</v>
      </c>
    </row>
    <row r="318" spans="1:4" x14ac:dyDescent="0.25">
      <c r="A318" s="1" t="s">
        <v>91</v>
      </c>
      <c r="B318">
        <v>19</v>
      </c>
      <c r="C318">
        <v>3</v>
      </c>
      <c r="D318" s="1" t="s">
        <v>570</v>
      </c>
    </row>
    <row r="319" spans="1:4" x14ac:dyDescent="0.25">
      <c r="A319" s="1" t="s">
        <v>91</v>
      </c>
      <c r="B319">
        <v>26</v>
      </c>
      <c r="C319">
        <v>3</v>
      </c>
      <c r="D319" s="1" t="s">
        <v>570</v>
      </c>
    </row>
    <row r="320" spans="1:4" x14ac:dyDescent="0.25">
      <c r="A320" s="1" t="s">
        <v>91</v>
      </c>
      <c r="B320">
        <v>35</v>
      </c>
      <c r="C320">
        <v>3</v>
      </c>
      <c r="D320" s="1" t="s">
        <v>570</v>
      </c>
    </row>
    <row r="321" spans="1:4" x14ac:dyDescent="0.25">
      <c r="A321" s="1" t="s">
        <v>91</v>
      </c>
      <c r="B321">
        <v>37</v>
      </c>
      <c r="C321">
        <v>3</v>
      </c>
      <c r="D321" s="1" t="s">
        <v>570</v>
      </c>
    </row>
    <row r="322" spans="1:4" x14ac:dyDescent="0.25">
      <c r="A322" s="1" t="s">
        <v>50</v>
      </c>
      <c r="B322">
        <v>9</v>
      </c>
      <c r="C322">
        <v>3</v>
      </c>
      <c r="D322" s="1" t="s">
        <v>570</v>
      </c>
    </row>
    <row r="323" spans="1:4" x14ac:dyDescent="0.25">
      <c r="A323" s="1" t="s">
        <v>50</v>
      </c>
      <c r="B323">
        <v>11</v>
      </c>
      <c r="C323">
        <v>3</v>
      </c>
      <c r="D323" s="1" t="s">
        <v>570</v>
      </c>
    </row>
    <row r="324" spans="1:4" x14ac:dyDescent="0.25">
      <c r="A324" s="1" t="s">
        <v>50</v>
      </c>
      <c r="B324">
        <v>13</v>
      </c>
      <c r="C324">
        <v>3</v>
      </c>
      <c r="D324" s="1" t="s">
        <v>570</v>
      </c>
    </row>
    <row r="325" spans="1:4" x14ac:dyDescent="0.25">
      <c r="A325" s="1" t="s">
        <v>50</v>
      </c>
      <c r="B325">
        <v>16</v>
      </c>
      <c r="C325">
        <v>3</v>
      </c>
      <c r="D325" s="1" t="s">
        <v>570</v>
      </c>
    </row>
    <row r="326" spans="1:4" x14ac:dyDescent="0.25">
      <c r="A326" s="1" t="s">
        <v>50</v>
      </c>
      <c r="B326">
        <v>19</v>
      </c>
      <c r="C326">
        <v>3</v>
      </c>
      <c r="D326" s="1" t="s">
        <v>570</v>
      </c>
    </row>
    <row r="327" spans="1:4" x14ac:dyDescent="0.25">
      <c r="A327" s="1" t="s">
        <v>50</v>
      </c>
      <c r="B327">
        <v>26</v>
      </c>
      <c r="C327">
        <v>3</v>
      </c>
      <c r="D327" s="1" t="s">
        <v>570</v>
      </c>
    </row>
    <row r="328" spans="1:4" x14ac:dyDescent="0.25">
      <c r="A328" s="1" t="s">
        <v>50</v>
      </c>
      <c r="B328">
        <v>31</v>
      </c>
      <c r="C328">
        <v>3</v>
      </c>
      <c r="D328" s="1" t="s">
        <v>570</v>
      </c>
    </row>
    <row r="329" spans="1:4" x14ac:dyDescent="0.25">
      <c r="A329" s="1" t="s">
        <v>50</v>
      </c>
      <c r="B329">
        <v>34</v>
      </c>
      <c r="C329">
        <v>3</v>
      </c>
      <c r="D329" s="1" t="s">
        <v>570</v>
      </c>
    </row>
    <row r="330" spans="1:4" x14ac:dyDescent="0.25">
      <c r="A330" s="1" t="s">
        <v>149</v>
      </c>
      <c r="B330">
        <v>9</v>
      </c>
      <c r="C330">
        <v>3</v>
      </c>
      <c r="D330" s="1" t="s">
        <v>570</v>
      </c>
    </row>
    <row r="331" spans="1:4" x14ac:dyDescent="0.25">
      <c r="A331" s="1" t="s">
        <v>149</v>
      </c>
      <c r="B331">
        <v>13</v>
      </c>
      <c r="C331">
        <v>3</v>
      </c>
      <c r="D331" s="1" t="s">
        <v>570</v>
      </c>
    </row>
    <row r="332" spans="1:4" x14ac:dyDescent="0.25">
      <c r="A332" s="1" t="s">
        <v>149</v>
      </c>
      <c r="B332">
        <v>14</v>
      </c>
      <c r="C332">
        <v>3</v>
      </c>
      <c r="D332" s="1" t="s">
        <v>570</v>
      </c>
    </row>
    <row r="333" spans="1:4" x14ac:dyDescent="0.25">
      <c r="A333" s="1" t="s">
        <v>149</v>
      </c>
      <c r="B333">
        <v>16</v>
      </c>
      <c r="C333">
        <v>3</v>
      </c>
      <c r="D333" s="1" t="s">
        <v>570</v>
      </c>
    </row>
    <row r="334" spans="1:4" x14ac:dyDescent="0.25">
      <c r="A334" s="1" t="s">
        <v>149</v>
      </c>
      <c r="B334">
        <v>19</v>
      </c>
      <c r="C334">
        <v>3</v>
      </c>
      <c r="D334" s="1" t="s">
        <v>570</v>
      </c>
    </row>
    <row r="335" spans="1:4" x14ac:dyDescent="0.25">
      <c r="A335" s="1" t="s">
        <v>149</v>
      </c>
      <c r="B335">
        <v>21</v>
      </c>
      <c r="C335">
        <v>3</v>
      </c>
      <c r="D335" s="1" t="s">
        <v>570</v>
      </c>
    </row>
    <row r="336" spans="1:4" x14ac:dyDescent="0.25">
      <c r="A336" s="1" t="s">
        <v>149</v>
      </c>
      <c r="B336">
        <v>23</v>
      </c>
      <c r="C336">
        <v>3</v>
      </c>
      <c r="D336" s="1" t="s">
        <v>570</v>
      </c>
    </row>
    <row r="337" spans="1:4" x14ac:dyDescent="0.25">
      <c r="A337" s="1" t="s">
        <v>149</v>
      </c>
      <c r="B337">
        <v>29</v>
      </c>
      <c r="C337">
        <v>3</v>
      </c>
      <c r="D337" s="1" t="s">
        <v>570</v>
      </c>
    </row>
    <row r="338" spans="1:4" x14ac:dyDescent="0.25">
      <c r="A338" s="1" t="s">
        <v>149</v>
      </c>
      <c r="B338">
        <v>33</v>
      </c>
      <c r="C338">
        <v>3</v>
      </c>
      <c r="D338" s="1" t="s">
        <v>570</v>
      </c>
    </row>
    <row r="339" spans="1:4" x14ac:dyDescent="0.25">
      <c r="A339" s="1" t="s">
        <v>45</v>
      </c>
      <c r="B339">
        <v>7</v>
      </c>
      <c r="C339">
        <v>3</v>
      </c>
      <c r="D339" s="1" t="s">
        <v>570</v>
      </c>
    </row>
    <row r="340" spans="1:4" x14ac:dyDescent="0.25">
      <c r="A340" s="1" t="s">
        <v>45</v>
      </c>
      <c r="B340">
        <v>12</v>
      </c>
      <c r="C340">
        <v>3</v>
      </c>
      <c r="D340" s="1" t="s">
        <v>570</v>
      </c>
    </row>
    <row r="341" spans="1:4" x14ac:dyDescent="0.25">
      <c r="A341" s="1" t="s">
        <v>45</v>
      </c>
      <c r="B341">
        <v>14</v>
      </c>
      <c r="C341">
        <v>3</v>
      </c>
      <c r="D341" s="1" t="s">
        <v>570</v>
      </c>
    </row>
    <row r="342" spans="1:4" x14ac:dyDescent="0.25">
      <c r="A342" s="1" t="s">
        <v>45</v>
      </c>
      <c r="B342">
        <v>19</v>
      </c>
      <c r="C342">
        <v>3</v>
      </c>
      <c r="D342" s="1" t="s">
        <v>570</v>
      </c>
    </row>
    <row r="343" spans="1:4" x14ac:dyDescent="0.25">
      <c r="A343" s="1" t="s">
        <v>45</v>
      </c>
      <c r="B343">
        <v>20</v>
      </c>
      <c r="C343">
        <v>3</v>
      </c>
      <c r="D343" s="1" t="s">
        <v>570</v>
      </c>
    </row>
    <row r="344" spans="1:4" x14ac:dyDescent="0.25">
      <c r="A344" s="1" t="s">
        <v>45</v>
      </c>
      <c r="B344">
        <v>28</v>
      </c>
      <c r="C344">
        <v>3</v>
      </c>
      <c r="D344" s="1" t="s">
        <v>570</v>
      </c>
    </row>
    <row r="345" spans="1:4" x14ac:dyDescent="0.25">
      <c r="A345" s="1" t="s">
        <v>45</v>
      </c>
      <c r="B345">
        <v>29</v>
      </c>
      <c r="C345">
        <v>3</v>
      </c>
      <c r="D345" s="1" t="s">
        <v>570</v>
      </c>
    </row>
    <row r="346" spans="1:4" x14ac:dyDescent="0.25">
      <c r="A346" s="1" t="s">
        <v>45</v>
      </c>
      <c r="B346">
        <v>33</v>
      </c>
      <c r="C346">
        <v>3</v>
      </c>
      <c r="D346" s="1" t="s">
        <v>570</v>
      </c>
    </row>
    <row r="347" spans="1:4" x14ac:dyDescent="0.25">
      <c r="A347" s="1" t="s">
        <v>45</v>
      </c>
      <c r="B347">
        <v>35</v>
      </c>
      <c r="C347">
        <v>3</v>
      </c>
      <c r="D347" s="1" t="s">
        <v>570</v>
      </c>
    </row>
    <row r="348" spans="1:4" x14ac:dyDescent="0.25">
      <c r="A348" s="1" t="s">
        <v>45</v>
      </c>
      <c r="B348">
        <v>37</v>
      </c>
      <c r="C348">
        <v>3</v>
      </c>
      <c r="D348" s="1" t="s">
        <v>570</v>
      </c>
    </row>
    <row r="349" spans="1:4" x14ac:dyDescent="0.25">
      <c r="A349" s="1" t="s">
        <v>66</v>
      </c>
      <c r="B349">
        <v>11</v>
      </c>
      <c r="C349">
        <v>3</v>
      </c>
      <c r="D349" s="1" t="s">
        <v>570</v>
      </c>
    </row>
    <row r="350" spans="1:4" x14ac:dyDescent="0.25">
      <c r="A350" s="1" t="s">
        <v>66</v>
      </c>
      <c r="B350">
        <v>14</v>
      </c>
      <c r="C350">
        <v>3</v>
      </c>
      <c r="D350" s="1" t="s">
        <v>570</v>
      </c>
    </row>
    <row r="351" spans="1:4" x14ac:dyDescent="0.25">
      <c r="A351" s="1" t="s">
        <v>66</v>
      </c>
      <c r="B351">
        <v>21</v>
      </c>
      <c r="C351">
        <v>3</v>
      </c>
      <c r="D351" s="1" t="s">
        <v>570</v>
      </c>
    </row>
    <row r="352" spans="1:4" x14ac:dyDescent="0.25">
      <c r="A352" s="1" t="s">
        <v>66</v>
      </c>
      <c r="B352">
        <v>23</v>
      </c>
      <c r="C352">
        <v>3</v>
      </c>
      <c r="D352" s="1" t="s">
        <v>570</v>
      </c>
    </row>
    <row r="353" spans="1:4" x14ac:dyDescent="0.25">
      <c r="A353" s="1" t="s">
        <v>66</v>
      </c>
      <c r="B353">
        <v>28</v>
      </c>
      <c r="C353">
        <v>3</v>
      </c>
      <c r="D353" s="1" t="s">
        <v>570</v>
      </c>
    </row>
    <row r="354" spans="1:4" x14ac:dyDescent="0.25">
      <c r="A354" s="1" t="s">
        <v>66</v>
      </c>
      <c r="B354">
        <v>31</v>
      </c>
      <c r="C354">
        <v>3</v>
      </c>
      <c r="D354" s="1" t="s">
        <v>570</v>
      </c>
    </row>
    <row r="355" spans="1:4" x14ac:dyDescent="0.25">
      <c r="A355" s="1" t="s">
        <v>66</v>
      </c>
      <c r="B355">
        <v>33</v>
      </c>
      <c r="C355">
        <v>3</v>
      </c>
      <c r="D355" s="1" t="s">
        <v>570</v>
      </c>
    </row>
    <row r="356" spans="1:4" x14ac:dyDescent="0.25">
      <c r="A356" s="1" t="s">
        <v>66</v>
      </c>
      <c r="B356">
        <v>35</v>
      </c>
      <c r="C356">
        <v>3</v>
      </c>
      <c r="D356" s="1" t="s">
        <v>570</v>
      </c>
    </row>
    <row r="357" spans="1:4" x14ac:dyDescent="0.25">
      <c r="A357" s="1" t="s">
        <v>66</v>
      </c>
      <c r="B357">
        <v>37</v>
      </c>
      <c r="C357">
        <v>3</v>
      </c>
      <c r="D357" s="1" t="s">
        <v>570</v>
      </c>
    </row>
    <row r="358" spans="1:4" x14ac:dyDescent="0.25">
      <c r="A358" s="1" t="s">
        <v>22</v>
      </c>
      <c r="B358">
        <v>8</v>
      </c>
      <c r="C358">
        <v>3</v>
      </c>
      <c r="D358" s="1" t="s">
        <v>570</v>
      </c>
    </row>
    <row r="359" spans="1:4" x14ac:dyDescent="0.25">
      <c r="A359" s="1" t="s">
        <v>22</v>
      </c>
      <c r="B359">
        <v>9</v>
      </c>
      <c r="C359">
        <v>3</v>
      </c>
      <c r="D359" s="1" t="s">
        <v>570</v>
      </c>
    </row>
    <row r="360" spans="1:4" x14ac:dyDescent="0.25">
      <c r="A360" s="1" t="s">
        <v>22</v>
      </c>
      <c r="B360">
        <v>17</v>
      </c>
      <c r="C360">
        <v>3</v>
      </c>
      <c r="D360" s="1" t="s">
        <v>570</v>
      </c>
    </row>
    <row r="361" spans="1:4" x14ac:dyDescent="0.25">
      <c r="A361" s="1" t="s">
        <v>22</v>
      </c>
      <c r="B361">
        <v>21</v>
      </c>
      <c r="C361">
        <v>3</v>
      </c>
      <c r="D361" s="1" t="s">
        <v>570</v>
      </c>
    </row>
    <row r="362" spans="1:4" x14ac:dyDescent="0.25">
      <c r="A362" s="1" t="s">
        <v>22</v>
      </c>
      <c r="B362">
        <v>25</v>
      </c>
      <c r="C362">
        <v>3</v>
      </c>
      <c r="D362" s="1" t="s">
        <v>570</v>
      </c>
    </row>
    <row r="363" spans="1:4" x14ac:dyDescent="0.25">
      <c r="A363" s="1" t="s">
        <v>22</v>
      </c>
      <c r="B363">
        <v>27</v>
      </c>
      <c r="C363">
        <v>3</v>
      </c>
      <c r="D363" s="1" t="s">
        <v>570</v>
      </c>
    </row>
    <row r="364" spans="1:4" x14ac:dyDescent="0.25">
      <c r="A364" s="1" t="s">
        <v>22</v>
      </c>
      <c r="B364">
        <v>30</v>
      </c>
      <c r="C364">
        <v>3</v>
      </c>
      <c r="D364" s="1" t="s">
        <v>570</v>
      </c>
    </row>
    <row r="365" spans="1:4" x14ac:dyDescent="0.25">
      <c r="A365" s="1" t="s">
        <v>22</v>
      </c>
      <c r="B365">
        <v>32</v>
      </c>
      <c r="C365">
        <v>3</v>
      </c>
      <c r="D365" s="1" t="s">
        <v>570</v>
      </c>
    </row>
    <row r="366" spans="1:4" x14ac:dyDescent="0.25">
      <c r="A366" s="1" t="s">
        <v>22</v>
      </c>
      <c r="B366">
        <v>38</v>
      </c>
      <c r="C366">
        <v>3</v>
      </c>
      <c r="D366" s="1" t="s">
        <v>570</v>
      </c>
    </row>
    <row r="367" spans="1:4" x14ac:dyDescent="0.25">
      <c r="A367" s="1" t="s">
        <v>117</v>
      </c>
      <c r="B367">
        <v>7</v>
      </c>
      <c r="C367">
        <v>3</v>
      </c>
      <c r="D367" s="1" t="s">
        <v>570</v>
      </c>
    </row>
    <row r="368" spans="1:4" x14ac:dyDescent="0.25">
      <c r="A368" s="1" t="s">
        <v>117</v>
      </c>
      <c r="B368">
        <v>10</v>
      </c>
      <c r="C368">
        <v>3</v>
      </c>
      <c r="D368" s="1" t="s">
        <v>570</v>
      </c>
    </row>
    <row r="369" spans="1:4" x14ac:dyDescent="0.25">
      <c r="A369" s="1" t="s">
        <v>117</v>
      </c>
      <c r="B369">
        <v>12</v>
      </c>
      <c r="C369">
        <v>3</v>
      </c>
      <c r="D369" s="1" t="s">
        <v>570</v>
      </c>
    </row>
    <row r="370" spans="1:4" x14ac:dyDescent="0.25">
      <c r="A370" s="1" t="s">
        <v>117</v>
      </c>
      <c r="B370">
        <v>18</v>
      </c>
      <c r="C370">
        <v>3</v>
      </c>
      <c r="D370" s="1" t="s">
        <v>570</v>
      </c>
    </row>
    <row r="371" spans="1:4" x14ac:dyDescent="0.25">
      <c r="A371" s="1" t="s">
        <v>117</v>
      </c>
      <c r="B371">
        <v>20</v>
      </c>
      <c r="C371">
        <v>3</v>
      </c>
      <c r="D371" s="1" t="s">
        <v>570</v>
      </c>
    </row>
    <row r="372" spans="1:4" x14ac:dyDescent="0.25">
      <c r="A372" s="1" t="s">
        <v>117</v>
      </c>
      <c r="B372">
        <v>27</v>
      </c>
      <c r="C372">
        <v>3</v>
      </c>
      <c r="D372" s="1" t="s">
        <v>570</v>
      </c>
    </row>
    <row r="373" spans="1:4" x14ac:dyDescent="0.25">
      <c r="A373" s="1" t="s">
        <v>117</v>
      </c>
      <c r="B373">
        <v>30</v>
      </c>
      <c r="C373">
        <v>3</v>
      </c>
      <c r="D373" s="1" t="s">
        <v>570</v>
      </c>
    </row>
    <row r="374" spans="1:4" x14ac:dyDescent="0.25">
      <c r="A374" s="1" t="s">
        <v>117</v>
      </c>
      <c r="B374">
        <v>32</v>
      </c>
      <c r="C374">
        <v>3</v>
      </c>
      <c r="D374" s="1" t="s">
        <v>570</v>
      </c>
    </row>
    <row r="375" spans="1:4" x14ac:dyDescent="0.25">
      <c r="A375" s="1" t="s">
        <v>117</v>
      </c>
      <c r="B375">
        <v>33</v>
      </c>
      <c r="C375">
        <v>3</v>
      </c>
      <c r="D375" s="1" t="s">
        <v>570</v>
      </c>
    </row>
    <row r="376" spans="1:4" x14ac:dyDescent="0.25">
      <c r="A376" s="1" t="s">
        <v>54</v>
      </c>
      <c r="B376">
        <v>8</v>
      </c>
      <c r="C376">
        <v>3</v>
      </c>
      <c r="D376" s="1" t="s">
        <v>570</v>
      </c>
    </row>
    <row r="377" spans="1:4" x14ac:dyDescent="0.25">
      <c r="A377" s="1" t="s">
        <v>54</v>
      </c>
      <c r="B377">
        <v>10</v>
      </c>
      <c r="C377">
        <v>3</v>
      </c>
      <c r="D377" s="1" t="s">
        <v>570</v>
      </c>
    </row>
    <row r="378" spans="1:4" x14ac:dyDescent="0.25">
      <c r="A378" s="1" t="s">
        <v>54</v>
      </c>
      <c r="B378">
        <v>14</v>
      </c>
      <c r="C378">
        <v>3</v>
      </c>
      <c r="D378" s="1" t="s">
        <v>570</v>
      </c>
    </row>
    <row r="379" spans="1:4" x14ac:dyDescent="0.25">
      <c r="A379" s="1" t="s">
        <v>54</v>
      </c>
      <c r="B379">
        <v>17</v>
      </c>
      <c r="C379">
        <v>3</v>
      </c>
      <c r="D379" s="1" t="s">
        <v>570</v>
      </c>
    </row>
    <row r="380" spans="1:4" x14ac:dyDescent="0.25">
      <c r="A380" s="1" t="s">
        <v>54</v>
      </c>
      <c r="B380">
        <v>18</v>
      </c>
      <c r="C380">
        <v>3</v>
      </c>
      <c r="D380" s="1" t="s">
        <v>570</v>
      </c>
    </row>
    <row r="381" spans="1:4" x14ac:dyDescent="0.25">
      <c r="A381" s="1" t="s">
        <v>54</v>
      </c>
      <c r="B381">
        <v>20</v>
      </c>
      <c r="C381">
        <v>3</v>
      </c>
      <c r="D381" s="1" t="s">
        <v>570</v>
      </c>
    </row>
    <row r="382" spans="1:4" x14ac:dyDescent="0.25">
      <c r="A382" s="1" t="s">
        <v>54</v>
      </c>
      <c r="B382">
        <v>24</v>
      </c>
      <c r="C382">
        <v>3</v>
      </c>
      <c r="D382" s="1" t="s">
        <v>570</v>
      </c>
    </row>
    <row r="383" spans="1:4" x14ac:dyDescent="0.25">
      <c r="A383" s="1" t="s">
        <v>54</v>
      </c>
      <c r="B383">
        <v>25</v>
      </c>
      <c r="C383">
        <v>3</v>
      </c>
      <c r="D383" s="1" t="s">
        <v>570</v>
      </c>
    </row>
    <row r="384" spans="1:4" x14ac:dyDescent="0.25">
      <c r="A384" s="1" t="s">
        <v>54</v>
      </c>
      <c r="B384">
        <v>31</v>
      </c>
      <c r="C384">
        <v>3</v>
      </c>
      <c r="D384" s="1" t="s">
        <v>570</v>
      </c>
    </row>
    <row r="385" spans="1:4" x14ac:dyDescent="0.25">
      <c r="A385" s="1" t="s">
        <v>54</v>
      </c>
      <c r="B385">
        <v>38</v>
      </c>
      <c r="C385">
        <v>3</v>
      </c>
      <c r="D385" s="1" t="s">
        <v>570</v>
      </c>
    </row>
    <row r="386" spans="1:4" x14ac:dyDescent="0.25">
      <c r="A386" s="1" t="s">
        <v>177</v>
      </c>
      <c r="B386">
        <v>7</v>
      </c>
      <c r="C386">
        <v>3</v>
      </c>
      <c r="D386" s="1" t="s">
        <v>570</v>
      </c>
    </row>
    <row r="387" spans="1:4" x14ac:dyDescent="0.25">
      <c r="A387" s="1" t="s">
        <v>177</v>
      </c>
      <c r="B387">
        <v>13</v>
      </c>
      <c r="C387">
        <v>3</v>
      </c>
      <c r="D387" s="1" t="s">
        <v>570</v>
      </c>
    </row>
    <row r="388" spans="1:4" x14ac:dyDescent="0.25">
      <c r="A388" s="1" t="s">
        <v>177</v>
      </c>
      <c r="B388">
        <v>15</v>
      </c>
      <c r="C388">
        <v>3</v>
      </c>
      <c r="D388" s="1" t="s">
        <v>570</v>
      </c>
    </row>
    <row r="389" spans="1:4" x14ac:dyDescent="0.25">
      <c r="A389" s="1" t="s">
        <v>177</v>
      </c>
      <c r="B389">
        <v>21</v>
      </c>
      <c r="C389">
        <v>3</v>
      </c>
      <c r="D389" s="1" t="s">
        <v>570</v>
      </c>
    </row>
    <row r="390" spans="1:4" x14ac:dyDescent="0.25">
      <c r="A390" s="1" t="s">
        <v>177</v>
      </c>
      <c r="B390">
        <v>23</v>
      </c>
      <c r="C390">
        <v>3</v>
      </c>
      <c r="D390" s="1" t="s">
        <v>570</v>
      </c>
    </row>
    <row r="391" spans="1:4" x14ac:dyDescent="0.25">
      <c r="A391" s="1" t="s">
        <v>177</v>
      </c>
      <c r="B391">
        <v>26</v>
      </c>
      <c r="C391">
        <v>3</v>
      </c>
      <c r="D391" s="1" t="s">
        <v>570</v>
      </c>
    </row>
    <row r="392" spans="1:4" x14ac:dyDescent="0.25">
      <c r="A392" s="1" t="s">
        <v>177</v>
      </c>
      <c r="B392">
        <v>28</v>
      </c>
      <c r="C392">
        <v>3</v>
      </c>
      <c r="D392" s="1" t="s">
        <v>570</v>
      </c>
    </row>
    <row r="393" spans="1:4" x14ac:dyDescent="0.25">
      <c r="A393" s="1" t="s">
        <v>177</v>
      </c>
      <c r="B393">
        <v>35</v>
      </c>
      <c r="C393">
        <v>3</v>
      </c>
      <c r="D393" s="1" t="s">
        <v>570</v>
      </c>
    </row>
    <row r="394" spans="1:4" x14ac:dyDescent="0.25">
      <c r="A394" s="1" t="s">
        <v>177</v>
      </c>
      <c r="B394">
        <v>37</v>
      </c>
      <c r="C394">
        <v>3</v>
      </c>
      <c r="D394" s="1" t="s">
        <v>570</v>
      </c>
    </row>
    <row r="395" spans="1:4" x14ac:dyDescent="0.25">
      <c r="A395" s="1" t="s">
        <v>80</v>
      </c>
      <c r="B395">
        <v>8</v>
      </c>
      <c r="C395">
        <v>3</v>
      </c>
      <c r="D395" s="1" t="s">
        <v>570</v>
      </c>
    </row>
    <row r="396" spans="1:4" x14ac:dyDescent="0.25">
      <c r="A396" s="1" t="s">
        <v>80</v>
      </c>
      <c r="B396">
        <v>10</v>
      </c>
      <c r="C396">
        <v>3</v>
      </c>
      <c r="D396" s="1" t="s">
        <v>570</v>
      </c>
    </row>
    <row r="397" spans="1:4" x14ac:dyDescent="0.25">
      <c r="A397" s="1" t="s">
        <v>80</v>
      </c>
      <c r="B397">
        <v>16</v>
      </c>
      <c r="C397">
        <v>3</v>
      </c>
      <c r="D397" s="1" t="s">
        <v>570</v>
      </c>
    </row>
    <row r="398" spans="1:4" x14ac:dyDescent="0.25">
      <c r="A398" s="1" t="s">
        <v>80</v>
      </c>
      <c r="B398">
        <v>24</v>
      </c>
      <c r="C398">
        <v>3</v>
      </c>
      <c r="D398" s="1" t="s">
        <v>570</v>
      </c>
    </row>
    <row r="399" spans="1:4" x14ac:dyDescent="0.25">
      <c r="A399" s="1" t="s">
        <v>80</v>
      </c>
      <c r="B399">
        <v>28</v>
      </c>
      <c r="C399">
        <v>3</v>
      </c>
      <c r="D399" s="1" t="s">
        <v>570</v>
      </c>
    </row>
    <row r="400" spans="1:4" x14ac:dyDescent="0.25">
      <c r="A400" s="1" t="s">
        <v>80</v>
      </c>
      <c r="B400">
        <v>29</v>
      </c>
      <c r="C400">
        <v>3</v>
      </c>
      <c r="D400" s="1" t="s">
        <v>570</v>
      </c>
    </row>
    <row r="401" spans="1:4" x14ac:dyDescent="0.25">
      <c r="A401" s="1" t="s">
        <v>80</v>
      </c>
      <c r="B401">
        <v>34</v>
      </c>
      <c r="C401">
        <v>3</v>
      </c>
      <c r="D401" s="1" t="s">
        <v>570</v>
      </c>
    </row>
    <row r="402" spans="1:4" x14ac:dyDescent="0.25">
      <c r="A402" s="1" t="s">
        <v>80</v>
      </c>
      <c r="B402">
        <v>36</v>
      </c>
      <c r="C402">
        <v>3</v>
      </c>
      <c r="D402" s="1" t="s">
        <v>570</v>
      </c>
    </row>
    <row r="403" spans="1:4" x14ac:dyDescent="0.25">
      <c r="A403" s="1" t="s">
        <v>170</v>
      </c>
      <c r="B403">
        <v>6</v>
      </c>
      <c r="C403">
        <v>3</v>
      </c>
      <c r="D403" s="1" t="s">
        <v>570</v>
      </c>
    </row>
    <row r="404" spans="1:4" x14ac:dyDescent="0.25">
      <c r="A404" s="1" t="s">
        <v>170</v>
      </c>
      <c r="B404">
        <v>9</v>
      </c>
      <c r="C404">
        <v>3</v>
      </c>
      <c r="D404" s="1" t="s">
        <v>570</v>
      </c>
    </row>
    <row r="405" spans="1:4" x14ac:dyDescent="0.25">
      <c r="A405" s="1" t="s">
        <v>170</v>
      </c>
      <c r="B405">
        <v>11</v>
      </c>
      <c r="C405">
        <v>3</v>
      </c>
      <c r="D405" s="1" t="s">
        <v>570</v>
      </c>
    </row>
    <row r="406" spans="1:4" x14ac:dyDescent="0.25">
      <c r="A406" s="1" t="s">
        <v>170</v>
      </c>
      <c r="B406">
        <v>15</v>
      </c>
      <c r="C406">
        <v>3</v>
      </c>
      <c r="D406" s="1" t="s">
        <v>570</v>
      </c>
    </row>
    <row r="407" spans="1:4" x14ac:dyDescent="0.25">
      <c r="A407" s="1" t="s">
        <v>170</v>
      </c>
      <c r="B407">
        <v>18</v>
      </c>
      <c r="C407">
        <v>3</v>
      </c>
      <c r="D407" s="1" t="s">
        <v>570</v>
      </c>
    </row>
    <row r="408" spans="1:4" x14ac:dyDescent="0.25">
      <c r="A408" s="1" t="s">
        <v>170</v>
      </c>
      <c r="B408">
        <v>25</v>
      </c>
      <c r="C408">
        <v>3</v>
      </c>
      <c r="D408" s="1" t="s">
        <v>570</v>
      </c>
    </row>
    <row r="409" spans="1:4" x14ac:dyDescent="0.25">
      <c r="A409" s="1" t="s">
        <v>170</v>
      </c>
      <c r="B409">
        <v>27</v>
      </c>
      <c r="C409">
        <v>3</v>
      </c>
      <c r="D409" s="1" t="s">
        <v>570</v>
      </c>
    </row>
    <row r="410" spans="1:4" x14ac:dyDescent="0.25">
      <c r="A410" s="1" t="s">
        <v>170</v>
      </c>
      <c r="B410">
        <v>29</v>
      </c>
      <c r="C410">
        <v>3</v>
      </c>
      <c r="D410" s="1" t="s">
        <v>570</v>
      </c>
    </row>
    <row r="411" spans="1:4" x14ac:dyDescent="0.25">
      <c r="A411" s="1" t="s">
        <v>170</v>
      </c>
      <c r="B411">
        <v>31</v>
      </c>
      <c r="C411">
        <v>3</v>
      </c>
      <c r="D411" s="1" t="s">
        <v>570</v>
      </c>
    </row>
    <row r="412" spans="1:4" x14ac:dyDescent="0.25">
      <c r="A412" s="1" t="s">
        <v>165</v>
      </c>
      <c r="B412">
        <v>7</v>
      </c>
      <c r="C412">
        <v>3</v>
      </c>
      <c r="D412" s="1" t="s">
        <v>570</v>
      </c>
    </row>
    <row r="413" spans="1:4" x14ac:dyDescent="0.25">
      <c r="A413" s="1" t="s">
        <v>165</v>
      </c>
      <c r="B413">
        <v>11</v>
      </c>
      <c r="C413">
        <v>3</v>
      </c>
      <c r="D413" s="1" t="s">
        <v>570</v>
      </c>
    </row>
    <row r="414" spans="1:4" x14ac:dyDescent="0.25">
      <c r="A414" s="1" t="s">
        <v>165</v>
      </c>
      <c r="B414">
        <v>14</v>
      </c>
      <c r="C414">
        <v>3</v>
      </c>
      <c r="D414" s="1" t="s">
        <v>570</v>
      </c>
    </row>
    <row r="415" spans="1:4" x14ac:dyDescent="0.25">
      <c r="A415" s="1" t="s">
        <v>165</v>
      </c>
      <c r="B415">
        <v>17</v>
      </c>
      <c r="C415">
        <v>3</v>
      </c>
      <c r="D415" s="1" t="s">
        <v>570</v>
      </c>
    </row>
    <row r="416" spans="1:4" x14ac:dyDescent="0.25">
      <c r="A416" s="1" t="s">
        <v>165</v>
      </c>
      <c r="B416">
        <v>23</v>
      </c>
      <c r="C416">
        <v>3</v>
      </c>
      <c r="D416" s="1" t="s">
        <v>570</v>
      </c>
    </row>
    <row r="417" spans="1:4" x14ac:dyDescent="0.25">
      <c r="A417" s="1" t="s">
        <v>165</v>
      </c>
      <c r="B417">
        <v>27</v>
      </c>
      <c r="C417">
        <v>3</v>
      </c>
      <c r="D417" s="1" t="s">
        <v>570</v>
      </c>
    </row>
    <row r="418" spans="1:4" x14ac:dyDescent="0.25">
      <c r="A418" s="1" t="s">
        <v>165</v>
      </c>
      <c r="B418">
        <v>32</v>
      </c>
      <c r="C418">
        <v>3</v>
      </c>
      <c r="D418" s="1" t="s">
        <v>570</v>
      </c>
    </row>
    <row r="419" spans="1:4" x14ac:dyDescent="0.25">
      <c r="A419" s="1" t="s">
        <v>165</v>
      </c>
      <c r="B419">
        <v>33</v>
      </c>
      <c r="C419">
        <v>3</v>
      </c>
      <c r="D419" s="1" t="s">
        <v>570</v>
      </c>
    </row>
    <row r="420" spans="1:4" x14ac:dyDescent="0.25">
      <c r="A420" s="1" t="s">
        <v>165</v>
      </c>
      <c r="B420">
        <v>37</v>
      </c>
      <c r="C420">
        <v>3</v>
      </c>
      <c r="D420" s="1" t="s">
        <v>570</v>
      </c>
    </row>
    <row r="421" spans="1:4" x14ac:dyDescent="0.25">
      <c r="A421" s="1" t="s">
        <v>122</v>
      </c>
      <c r="B421">
        <v>10</v>
      </c>
      <c r="C421">
        <v>3</v>
      </c>
      <c r="D421" s="1" t="s">
        <v>570</v>
      </c>
    </row>
    <row r="422" spans="1:4" x14ac:dyDescent="0.25">
      <c r="A422" s="1" t="s">
        <v>122</v>
      </c>
      <c r="B422">
        <v>12</v>
      </c>
      <c r="C422">
        <v>3</v>
      </c>
      <c r="D422" s="1" t="s">
        <v>570</v>
      </c>
    </row>
    <row r="423" spans="1:4" x14ac:dyDescent="0.25">
      <c r="A423" s="1" t="s">
        <v>122</v>
      </c>
      <c r="B423">
        <v>20</v>
      </c>
      <c r="C423">
        <v>3</v>
      </c>
      <c r="D423" s="1" t="s">
        <v>570</v>
      </c>
    </row>
    <row r="424" spans="1:4" x14ac:dyDescent="0.25">
      <c r="A424" s="1" t="s">
        <v>122</v>
      </c>
      <c r="B424">
        <v>22</v>
      </c>
      <c r="C424">
        <v>3</v>
      </c>
      <c r="D424" s="1" t="s">
        <v>570</v>
      </c>
    </row>
    <row r="425" spans="1:4" x14ac:dyDescent="0.25">
      <c r="A425" s="1" t="s">
        <v>122</v>
      </c>
      <c r="B425">
        <v>28</v>
      </c>
      <c r="C425">
        <v>3</v>
      </c>
      <c r="D425" s="1" t="s">
        <v>570</v>
      </c>
    </row>
    <row r="426" spans="1:4" x14ac:dyDescent="0.25">
      <c r="A426" s="1" t="s">
        <v>122</v>
      </c>
      <c r="B426">
        <v>30</v>
      </c>
      <c r="C426">
        <v>3</v>
      </c>
      <c r="D426" s="1" t="s">
        <v>570</v>
      </c>
    </row>
    <row r="427" spans="1:4" x14ac:dyDescent="0.25">
      <c r="A427" s="1" t="s">
        <v>122</v>
      </c>
      <c r="B427">
        <v>32</v>
      </c>
      <c r="C427">
        <v>3</v>
      </c>
      <c r="D427" s="1" t="s">
        <v>570</v>
      </c>
    </row>
    <row r="428" spans="1:4" x14ac:dyDescent="0.25">
      <c r="A428" s="1" t="s">
        <v>122</v>
      </c>
      <c r="B428">
        <v>38</v>
      </c>
      <c r="C428">
        <v>3</v>
      </c>
      <c r="D428" s="1" t="s">
        <v>570</v>
      </c>
    </row>
    <row r="429" spans="1:4" x14ac:dyDescent="0.25">
      <c r="A429" s="1" t="s">
        <v>96</v>
      </c>
      <c r="B429">
        <v>7</v>
      </c>
      <c r="C429">
        <v>3</v>
      </c>
      <c r="D429" s="1" t="s">
        <v>571</v>
      </c>
    </row>
    <row r="430" spans="1:4" x14ac:dyDescent="0.25">
      <c r="A430" s="1" t="s">
        <v>96</v>
      </c>
      <c r="B430">
        <v>9</v>
      </c>
      <c r="C430">
        <v>3</v>
      </c>
      <c r="D430" s="1" t="s">
        <v>571</v>
      </c>
    </row>
    <row r="431" spans="1:4" x14ac:dyDescent="0.25">
      <c r="A431" s="1" t="s">
        <v>96</v>
      </c>
      <c r="B431">
        <v>11</v>
      </c>
      <c r="C431">
        <v>3</v>
      </c>
      <c r="D431" s="1" t="s">
        <v>571</v>
      </c>
    </row>
    <row r="432" spans="1:4" x14ac:dyDescent="0.25">
      <c r="A432" s="1" t="s">
        <v>96</v>
      </c>
      <c r="B432">
        <v>13</v>
      </c>
      <c r="C432">
        <v>3</v>
      </c>
      <c r="D432" s="1" t="s">
        <v>571</v>
      </c>
    </row>
    <row r="433" spans="1:4" x14ac:dyDescent="0.25">
      <c r="A433" s="1" t="s">
        <v>96</v>
      </c>
      <c r="B433">
        <v>19</v>
      </c>
      <c r="C433">
        <v>3</v>
      </c>
      <c r="D433" s="1" t="s">
        <v>571</v>
      </c>
    </row>
    <row r="434" spans="1:4" x14ac:dyDescent="0.25">
      <c r="A434" s="1" t="s">
        <v>96</v>
      </c>
      <c r="B434">
        <v>29</v>
      </c>
      <c r="C434">
        <v>3</v>
      </c>
      <c r="D434" s="1" t="s">
        <v>571</v>
      </c>
    </row>
    <row r="435" spans="1:4" x14ac:dyDescent="0.25">
      <c r="A435" s="1" t="s">
        <v>104</v>
      </c>
      <c r="B435">
        <v>6</v>
      </c>
      <c r="C435">
        <v>3</v>
      </c>
      <c r="D435" s="1" t="s">
        <v>571</v>
      </c>
    </row>
    <row r="436" spans="1:4" x14ac:dyDescent="0.25">
      <c r="A436" s="1" t="s">
        <v>104</v>
      </c>
      <c r="B436">
        <v>8</v>
      </c>
      <c r="C436">
        <v>3</v>
      </c>
      <c r="D436" s="1" t="s">
        <v>571</v>
      </c>
    </row>
    <row r="437" spans="1:4" x14ac:dyDescent="0.25">
      <c r="A437" s="1" t="s">
        <v>104</v>
      </c>
      <c r="B437">
        <v>15</v>
      </c>
      <c r="C437">
        <v>3</v>
      </c>
      <c r="D437" s="1" t="s">
        <v>571</v>
      </c>
    </row>
    <row r="438" spans="1:4" x14ac:dyDescent="0.25">
      <c r="A438" s="1" t="s">
        <v>104</v>
      </c>
      <c r="B438">
        <v>20</v>
      </c>
      <c r="C438">
        <v>3</v>
      </c>
      <c r="D438" s="1" t="s">
        <v>571</v>
      </c>
    </row>
    <row r="439" spans="1:4" x14ac:dyDescent="0.25">
      <c r="A439" s="1" t="s">
        <v>104</v>
      </c>
      <c r="B439">
        <v>22</v>
      </c>
      <c r="C439">
        <v>3</v>
      </c>
      <c r="D439" s="1" t="s">
        <v>571</v>
      </c>
    </row>
    <row r="440" spans="1:4" x14ac:dyDescent="0.25">
      <c r="A440" s="1" t="s">
        <v>104</v>
      </c>
      <c r="B440">
        <v>30</v>
      </c>
      <c r="C440">
        <v>3</v>
      </c>
      <c r="D440" s="1" t="s">
        <v>571</v>
      </c>
    </row>
    <row r="441" spans="1:4" x14ac:dyDescent="0.25">
      <c r="A441" s="1" t="s">
        <v>104</v>
      </c>
      <c r="B441">
        <v>32</v>
      </c>
      <c r="C441">
        <v>3</v>
      </c>
      <c r="D441" s="1" t="s">
        <v>571</v>
      </c>
    </row>
    <row r="442" spans="1:4" x14ac:dyDescent="0.25">
      <c r="A442" s="1" t="s">
        <v>104</v>
      </c>
      <c r="B442">
        <v>36</v>
      </c>
      <c r="C442">
        <v>3</v>
      </c>
      <c r="D442" s="1" t="s">
        <v>571</v>
      </c>
    </row>
    <row r="443" spans="1:4" x14ac:dyDescent="0.25">
      <c r="A443" s="1" t="s">
        <v>104</v>
      </c>
      <c r="B443">
        <v>38</v>
      </c>
      <c r="C443">
        <v>3</v>
      </c>
      <c r="D443" s="1" t="s">
        <v>571</v>
      </c>
    </row>
    <row r="444" spans="1:4" x14ac:dyDescent="0.25">
      <c r="A444" s="1" t="s">
        <v>215</v>
      </c>
      <c r="B444">
        <v>6</v>
      </c>
      <c r="C444">
        <v>3</v>
      </c>
      <c r="D444" s="1" t="s">
        <v>571</v>
      </c>
    </row>
    <row r="445" spans="1:4" x14ac:dyDescent="0.25">
      <c r="A445" s="1" t="s">
        <v>215</v>
      </c>
      <c r="B445">
        <v>11</v>
      </c>
      <c r="C445">
        <v>3</v>
      </c>
      <c r="D445" s="1" t="s">
        <v>571</v>
      </c>
    </row>
    <row r="446" spans="1:4" x14ac:dyDescent="0.25">
      <c r="A446" s="1" t="s">
        <v>215</v>
      </c>
      <c r="B446">
        <v>13</v>
      </c>
      <c r="C446">
        <v>3</v>
      </c>
      <c r="D446" s="1" t="s">
        <v>571</v>
      </c>
    </row>
    <row r="447" spans="1:4" x14ac:dyDescent="0.25">
      <c r="A447" s="1" t="s">
        <v>215</v>
      </c>
      <c r="B447">
        <v>17</v>
      </c>
      <c r="C447">
        <v>3</v>
      </c>
      <c r="D447" s="1" t="s">
        <v>571</v>
      </c>
    </row>
    <row r="448" spans="1:4" x14ac:dyDescent="0.25">
      <c r="A448" s="1" t="s">
        <v>215</v>
      </c>
      <c r="B448">
        <v>25</v>
      </c>
      <c r="C448">
        <v>3</v>
      </c>
      <c r="D448" s="1" t="s">
        <v>571</v>
      </c>
    </row>
    <row r="449" spans="1:4" x14ac:dyDescent="0.25">
      <c r="A449" s="1" t="s">
        <v>215</v>
      </c>
      <c r="B449">
        <v>31</v>
      </c>
      <c r="C449">
        <v>3</v>
      </c>
      <c r="D449" s="1" t="s">
        <v>571</v>
      </c>
    </row>
    <row r="450" spans="1:4" x14ac:dyDescent="0.25">
      <c r="A450" s="1" t="s">
        <v>215</v>
      </c>
      <c r="B450">
        <v>36</v>
      </c>
      <c r="C450">
        <v>3</v>
      </c>
      <c r="D450" s="1" t="s">
        <v>571</v>
      </c>
    </row>
    <row r="451" spans="1:4" x14ac:dyDescent="0.25">
      <c r="A451" s="1" t="s">
        <v>63</v>
      </c>
      <c r="B451">
        <v>9</v>
      </c>
      <c r="C451">
        <v>3</v>
      </c>
      <c r="D451" s="1" t="s">
        <v>571</v>
      </c>
    </row>
    <row r="452" spans="1:4" x14ac:dyDescent="0.25">
      <c r="A452" s="1" t="s">
        <v>63</v>
      </c>
      <c r="B452">
        <v>11</v>
      </c>
      <c r="C452">
        <v>3</v>
      </c>
      <c r="D452" s="1" t="s">
        <v>571</v>
      </c>
    </row>
    <row r="453" spans="1:4" x14ac:dyDescent="0.25">
      <c r="A453" s="1" t="s">
        <v>63</v>
      </c>
      <c r="B453">
        <v>16</v>
      </c>
      <c r="C453">
        <v>3</v>
      </c>
      <c r="D453" s="1" t="s">
        <v>571</v>
      </c>
    </row>
    <row r="454" spans="1:4" x14ac:dyDescent="0.25">
      <c r="A454" s="1" t="s">
        <v>63</v>
      </c>
      <c r="B454">
        <v>21</v>
      </c>
      <c r="C454">
        <v>3</v>
      </c>
      <c r="D454" s="1" t="s">
        <v>571</v>
      </c>
    </row>
    <row r="455" spans="1:4" x14ac:dyDescent="0.25">
      <c r="A455" s="1" t="s">
        <v>63</v>
      </c>
      <c r="B455">
        <v>30</v>
      </c>
      <c r="C455">
        <v>3</v>
      </c>
      <c r="D455" s="1" t="s">
        <v>571</v>
      </c>
    </row>
    <row r="456" spans="1:4" x14ac:dyDescent="0.25">
      <c r="A456" s="1" t="s">
        <v>63</v>
      </c>
      <c r="B456">
        <v>32</v>
      </c>
      <c r="C456">
        <v>3</v>
      </c>
      <c r="D456" s="1" t="s">
        <v>571</v>
      </c>
    </row>
    <row r="457" spans="1:4" x14ac:dyDescent="0.25">
      <c r="A457" s="1" t="s">
        <v>63</v>
      </c>
      <c r="B457">
        <v>35</v>
      </c>
      <c r="C457">
        <v>3</v>
      </c>
      <c r="D457" s="1" t="s">
        <v>571</v>
      </c>
    </row>
    <row r="458" spans="1:4" x14ac:dyDescent="0.25">
      <c r="A458" s="1" t="s">
        <v>34</v>
      </c>
      <c r="B458">
        <v>10</v>
      </c>
      <c r="C458">
        <v>3</v>
      </c>
      <c r="D458" s="1" t="s">
        <v>571</v>
      </c>
    </row>
    <row r="459" spans="1:4" x14ac:dyDescent="0.25">
      <c r="A459" s="1" t="s">
        <v>34</v>
      </c>
      <c r="B459">
        <v>12</v>
      </c>
      <c r="C459">
        <v>3</v>
      </c>
      <c r="D459" s="1" t="s">
        <v>571</v>
      </c>
    </row>
    <row r="460" spans="1:4" x14ac:dyDescent="0.25">
      <c r="A460" s="1" t="s">
        <v>34</v>
      </c>
      <c r="B460">
        <v>15</v>
      </c>
      <c r="C460">
        <v>3</v>
      </c>
      <c r="D460" s="1" t="s">
        <v>571</v>
      </c>
    </row>
    <row r="461" spans="1:4" x14ac:dyDescent="0.25">
      <c r="A461" s="1" t="s">
        <v>34</v>
      </c>
      <c r="B461">
        <v>20</v>
      </c>
      <c r="C461">
        <v>3</v>
      </c>
      <c r="D461" s="1" t="s">
        <v>571</v>
      </c>
    </row>
    <row r="462" spans="1:4" x14ac:dyDescent="0.25">
      <c r="A462" s="1" t="s">
        <v>34</v>
      </c>
      <c r="B462">
        <v>34</v>
      </c>
      <c r="C462">
        <v>3</v>
      </c>
      <c r="D462" s="1" t="s">
        <v>571</v>
      </c>
    </row>
    <row r="463" spans="1:4" x14ac:dyDescent="0.25">
      <c r="A463" s="1" t="s">
        <v>34</v>
      </c>
      <c r="B463">
        <v>35</v>
      </c>
      <c r="C463">
        <v>3</v>
      </c>
      <c r="D463" s="1" t="s">
        <v>571</v>
      </c>
    </row>
    <row r="464" spans="1:4" x14ac:dyDescent="0.25">
      <c r="A464" s="1" t="s">
        <v>158</v>
      </c>
      <c r="B464">
        <v>6</v>
      </c>
      <c r="C464">
        <v>3</v>
      </c>
      <c r="D464" s="1" t="s">
        <v>571</v>
      </c>
    </row>
    <row r="465" spans="1:4" x14ac:dyDescent="0.25">
      <c r="A465" s="1" t="s">
        <v>158</v>
      </c>
      <c r="B465">
        <v>11</v>
      </c>
      <c r="C465">
        <v>3</v>
      </c>
      <c r="D465" s="1" t="s">
        <v>571</v>
      </c>
    </row>
    <row r="466" spans="1:4" x14ac:dyDescent="0.25">
      <c r="A466" s="1" t="s">
        <v>158</v>
      </c>
      <c r="B466">
        <v>16</v>
      </c>
      <c r="C466">
        <v>3</v>
      </c>
      <c r="D466" s="1" t="s">
        <v>571</v>
      </c>
    </row>
    <row r="467" spans="1:4" x14ac:dyDescent="0.25">
      <c r="A467" s="1" t="s">
        <v>158</v>
      </c>
      <c r="B467">
        <v>19</v>
      </c>
      <c r="C467">
        <v>3</v>
      </c>
      <c r="D467" s="1" t="s">
        <v>571</v>
      </c>
    </row>
    <row r="468" spans="1:4" x14ac:dyDescent="0.25">
      <c r="A468" s="1" t="s">
        <v>158</v>
      </c>
      <c r="B468">
        <v>21</v>
      </c>
      <c r="C468">
        <v>3</v>
      </c>
      <c r="D468" s="1" t="s">
        <v>571</v>
      </c>
    </row>
    <row r="469" spans="1:4" x14ac:dyDescent="0.25">
      <c r="A469" s="1" t="s">
        <v>158</v>
      </c>
      <c r="B469">
        <v>23</v>
      </c>
      <c r="C469">
        <v>3</v>
      </c>
      <c r="D469" s="1" t="s">
        <v>571</v>
      </c>
    </row>
    <row r="470" spans="1:4" x14ac:dyDescent="0.25">
      <c r="A470" s="1" t="s">
        <v>158</v>
      </c>
      <c r="B470">
        <v>36</v>
      </c>
      <c r="C470">
        <v>3</v>
      </c>
      <c r="D470" s="1" t="s">
        <v>571</v>
      </c>
    </row>
    <row r="471" spans="1:4" x14ac:dyDescent="0.25">
      <c r="A471" s="1" t="s">
        <v>158</v>
      </c>
      <c r="B471">
        <v>38</v>
      </c>
      <c r="C471">
        <v>3</v>
      </c>
      <c r="D471" s="1" t="s">
        <v>571</v>
      </c>
    </row>
    <row r="472" spans="1:4" x14ac:dyDescent="0.25">
      <c r="A472" s="1" t="s">
        <v>75</v>
      </c>
      <c r="B472">
        <v>6</v>
      </c>
      <c r="C472">
        <v>3</v>
      </c>
      <c r="D472" s="1" t="s">
        <v>571</v>
      </c>
    </row>
    <row r="473" spans="1:4" x14ac:dyDescent="0.25">
      <c r="A473" s="1" t="s">
        <v>75</v>
      </c>
      <c r="B473">
        <v>9</v>
      </c>
      <c r="C473">
        <v>3</v>
      </c>
      <c r="D473" s="1" t="s">
        <v>571</v>
      </c>
    </row>
    <row r="474" spans="1:4" x14ac:dyDescent="0.25">
      <c r="A474" s="1" t="s">
        <v>75</v>
      </c>
      <c r="B474">
        <v>15</v>
      </c>
      <c r="C474">
        <v>3</v>
      </c>
      <c r="D474" s="1" t="s">
        <v>571</v>
      </c>
    </row>
    <row r="475" spans="1:4" x14ac:dyDescent="0.25">
      <c r="A475" s="1" t="s">
        <v>75</v>
      </c>
      <c r="B475">
        <v>18</v>
      </c>
      <c r="C475">
        <v>3</v>
      </c>
      <c r="D475" s="1" t="s">
        <v>571</v>
      </c>
    </row>
    <row r="476" spans="1:4" x14ac:dyDescent="0.25">
      <c r="A476" s="1" t="s">
        <v>75</v>
      </c>
      <c r="B476">
        <v>21</v>
      </c>
      <c r="C476">
        <v>3</v>
      </c>
      <c r="D476" s="1" t="s">
        <v>571</v>
      </c>
    </row>
    <row r="477" spans="1:4" x14ac:dyDescent="0.25">
      <c r="A477" s="1" t="s">
        <v>75</v>
      </c>
      <c r="B477">
        <v>23</v>
      </c>
      <c r="C477">
        <v>3</v>
      </c>
      <c r="D477" s="1" t="s">
        <v>571</v>
      </c>
    </row>
    <row r="478" spans="1:4" x14ac:dyDescent="0.25">
      <c r="A478" s="1" t="s">
        <v>75</v>
      </c>
      <c r="B478">
        <v>27</v>
      </c>
      <c r="C478">
        <v>3</v>
      </c>
      <c r="D478" s="1" t="s">
        <v>571</v>
      </c>
    </row>
    <row r="479" spans="1:4" x14ac:dyDescent="0.25">
      <c r="A479" s="1" t="s">
        <v>75</v>
      </c>
      <c r="B479">
        <v>38</v>
      </c>
      <c r="C479">
        <v>3</v>
      </c>
      <c r="D479" s="1" t="s">
        <v>571</v>
      </c>
    </row>
    <row r="480" spans="1:4" x14ac:dyDescent="0.25">
      <c r="A480" s="1" t="s">
        <v>91</v>
      </c>
      <c r="B480">
        <v>6</v>
      </c>
      <c r="C480">
        <v>3</v>
      </c>
      <c r="D480" s="1" t="s">
        <v>571</v>
      </c>
    </row>
    <row r="481" spans="1:4" x14ac:dyDescent="0.25">
      <c r="A481" s="1" t="s">
        <v>91</v>
      </c>
      <c r="B481">
        <v>8</v>
      </c>
      <c r="C481">
        <v>3</v>
      </c>
      <c r="D481" s="1" t="s">
        <v>571</v>
      </c>
    </row>
    <row r="482" spans="1:4" x14ac:dyDescent="0.25">
      <c r="A482" s="1" t="s">
        <v>91</v>
      </c>
      <c r="B482">
        <v>18</v>
      </c>
      <c r="C482">
        <v>3</v>
      </c>
      <c r="D482" s="1" t="s">
        <v>571</v>
      </c>
    </row>
    <row r="483" spans="1:4" x14ac:dyDescent="0.25">
      <c r="A483" s="1" t="s">
        <v>91</v>
      </c>
      <c r="B483">
        <v>25</v>
      </c>
      <c r="C483">
        <v>3</v>
      </c>
      <c r="D483" s="1" t="s">
        <v>571</v>
      </c>
    </row>
    <row r="484" spans="1:4" x14ac:dyDescent="0.25">
      <c r="A484" s="1" t="s">
        <v>91</v>
      </c>
      <c r="B484">
        <v>27</v>
      </c>
      <c r="C484">
        <v>3</v>
      </c>
      <c r="D484" s="1" t="s">
        <v>571</v>
      </c>
    </row>
    <row r="485" spans="1:4" x14ac:dyDescent="0.25">
      <c r="A485" s="1" t="s">
        <v>91</v>
      </c>
      <c r="B485">
        <v>31</v>
      </c>
      <c r="C485">
        <v>3</v>
      </c>
      <c r="D485" s="1" t="s">
        <v>571</v>
      </c>
    </row>
    <row r="486" spans="1:4" x14ac:dyDescent="0.25">
      <c r="A486" s="1" t="s">
        <v>91</v>
      </c>
      <c r="B486">
        <v>34</v>
      </c>
      <c r="C486">
        <v>3</v>
      </c>
      <c r="D486" s="1" t="s">
        <v>571</v>
      </c>
    </row>
    <row r="487" spans="1:4" x14ac:dyDescent="0.25">
      <c r="A487" s="1" t="s">
        <v>91</v>
      </c>
      <c r="B487">
        <v>36</v>
      </c>
      <c r="C487">
        <v>3</v>
      </c>
      <c r="D487" s="1" t="s">
        <v>571</v>
      </c>
    </row>
    <row r="488" spans="1:4" x14ac:dyDescent="0.25">
      <c r="A488" s="1" t="s">
        <v>91</v>
      </c>
      <c r="B488">
        <v>38</v>
      </c>
      <c r="C488">
        <v>3</v>
      </c>
      <c r="D488" s="1" t="s">
        <v>571</v>
      </c>
    </row>
    <row r="489" spans="1:4" x14ac:dyDescent="0.25">
      <c r="A489" s="1" t="s">
        <v>50</v>
      </c>
      <c r="B489">
        <v>17</v>
      </c>
      <c r="C489">
        <v>3</v>
      </c>
      <c r="D489" s="1" t="s">
        <v>571</v>
      </c>
    </row>
    <row r="490" spans="1:4" x14ac:dyDescent="0.25">
      <c r="A490" s="1" t="s">
        <v>50</v>
      </c>
      <c r="B490">
        <v>20</v>
      </c>
      <c r="C490">
        <v>3</v>
      </c>
      <c r="D490" s="1" t="s">
        <v>571</v>
      </c>
    </row>
    <row r="491" spans="1:4" x14ac:dyDescent="0.25">
      <c r="A491" s="1" t="s">
        <v>50</v>
      </c>
      <c r="B491">
        <v>22</v>
      </c>
      <c r="C491">
        <v>3</v>
      </c>
      <c r="D491" s="1" t="s">
        <v>571</v>
      </c>
    </row>
    <row r="492" spans="1:4" x14ac:dyDescent="0.25">
      <c r="A492" s="1" t="s">
        <v>50</v>
      </c>
      <c r="B492">
        <v>24</v>
      </c>
      <c r="C492">
        <v>3</v>
      </c>
      <c r="D492" s="1" t="s">
        <v>571</v>
      </c>
    </row>
    <row r="493" spans="1:4" x14ac:dyDescent="0.25">
      <c r="A493" s="1" t="s">
        <v>50</v>
      </c>
      <c r="B493">
        <v>25</v>
      </c>
      <c r="C493">
        <v>3</v>
      </c>
      <c r="D493" s="1" t="s">
        <v>571</v>
      </c>
    </row>
    <row r="494" spans="1:4" x14ac:dyDescent="0.25">
      <c r="A494" s="1" t="s">
        <v>50</v>
      </c>
      <c r="B494">
        <v>27</v>
      </c>
      <c r="C494">
        <v>3</v>
      </c>
      <c r="D494" s="1" t="s">
        <v>571</v>
      </c>
    </row>
    <row r="495" spans="1:4" x14ac:dyDescent="0.25">
      <c r="A495" s="1" t="s">
        <v>50</v>
      </c>
      <c r="B495">
        <v>32</v>
      </c>
      <c r="C495">
        <v>3</v>
      </c>
      <c r="D495" s="1" t="s">
        <v>571</v>
      </c>
    </row>
    <row r="496" spans="1:4" x14ac:dyDescent="0.25">
      <c r="A496" s="1" t="s">
        <v>50</v>
      </c>
      <c r="B496">
        <v>33</v>
      </c>
      <c r="C496">
        <v>3</v>
      </c>
      <c r="D496" s="1" t="s">
        <v>571</v>
      </c>
    </row>
    <row r="497" spans="1:4" x14ac:dyDescent="0.25">
      <c r="A497" s="1" t="s">
        <v>149</v>
      </c>
      <c r="B497">
        <v>10</v>
      </c>
      <c r="C497">
        <v>3</v>
      </c>
      <c r="D497" s="1" t="s">
        <v>571</v>
      </c>
    </row>
    <row r="498" spans="1:4" x14ac:dyDescent="0.25">
      <c r="A498" s="1" t="s">
        <v>149</v>
      </c>
      <c r="B498">
        <v>12</v>
      </c>
      <c r="C498">
        <v>3</v>
      </c>
      <c r="D498" s="1" t="s">
        <v>571</v>
      </c>
    </row>
    <row r="499" spans="1:4" x14ac:dyDescent="0.25">
      <c r="A499" s="1" t="s">
        <v>149</v>
      </c>
      <c r="B499">
        <v>15</v>
      </c>
      <c r="C499">
        <v>3</v>
      </c>
      <c r="D499" s="1" t="s">
        <v>571</v>
      </c>
    </row>
    <row r="500" spans="1:4" x14ac:dyDescent="0.25">
      <c r="A500" s="1" t="s">
        <v>149</v>
      </c>
      <c r="B500">
        <v>17</v>
      </c>
      <c r="C500">
        <v>3</v>
      </c>
      <c r="D500" s="1" t="s">
        <v>571</v>
      </c>
    </row>
    <row r="501" spans="1:4" x14ac:dyDescent="0.25">
      <c r="A501" s="1" t="s">
        <v>149</v>
      </c>
      <c r="B501">
        <v>22</v>
      </c>
      <c r="C501">
        <v>3</v>
      </c>
      <c r="D501" s="1" t="s">
        <v>571</v>
      </c>
    </row>
    <row r="502" spans="1:4" x14ac:dyDescent="0.25">
      <c r="A502" s="1" t="s">
        <v>149</v>
      </c>
      <c r="B502">
        <v>25</v>
      </c>
      <c r="C502">
        <v>3</v>
      </c>
      <c r="D502" s="1" t="s">
        <v>571</v>
      </c>
    </row>
    <row r="503" spans="1:4" x14ac:dyDescent="0.25">
      <c r="A503" s="1" t="s">
        <v>149</v>
      </c>
      <c r="B503">
        <v>27</v>
      </c>
      <c r="C503">
        <v>3</v>
      </c>
      <c r="D503" s="1" t="s">
        <v>571</v>
      </c>
    </row>
    <row r="504" spans="1:4" x14ac:dyDescent="0.25">
      <c r="A504" s="1" t="s">
        <v>149</v>
      </c>
      <c r="B504">
        <v>32</v>
      </c>
      <c r="C504">
        <v>3</v>
      </c>
      <c r="D504" s="1" t="s">
        <v>571</v>
      </c>
    </row>
    <row r="505" spans="1:4" x14ac:dyDescent="0.25">
      <c r="A505" s="1" t="s">
        <v>149</v>
      </c>
      <c r="B505">
        <v>34</v>
      </c>
      <c r="C505">
        <v>3</v>
      </c>
      <c r="D505" s="1" t="s">
        <v>571</v>
      </c>
    </row>
    <row r="506" spans="1:4" x14ac:dyDescent="0.25">
      <c r="A506" s="1" t="s">
        <v>45</v>
      </c>
      <c r="B506">
        <v>6</v>
      </c>
      <c r="C506">
        <v>3</v>
      </c>
      <c r="D506" s="1" t="s">
        <v>571</v>
      </c>
    </row>
    <row r="507" spans="1:4" x14ac:dyDescent="0.25">
      <c r="A507" s="1" t="s">
        <v>45</v>
      </c>
      <c r="B507">
        <v>8</v>
      </c>
      <c r="C507">
        <v>3</v>
      </c>
      <c r="D507" s="1" t="s">
        <v>571</v>
      </c>
    </row>
    <row r="508" spans="1:4" x14ac:dyDescent="0.25">
      <c r="A508" s="1" t="s">
        <v>45</v>
      </c>
      <c r="B508">
        <v>11</v>
      </c>
      <c r="C508">
        <v>3</v>
      </c>
      <c r="D508" s="1" t="s">
        <v>571</v>
      </c>
    </row>
    <row r="509" spans="1:4" x14ac:dyDescent="0.25">
      <c r="A509" s="1" t="s">
        <v>45</v>
      </c>
      <c r="B509">
        <v>13</v>
      </c>
      <c r="C509">
        <v>3</v>
      </c>
      <c r="D509" s="1" t="s">
        <v>571</v>
      </c>
    </row>
    <row r="510" spans="1:4" x14ac:dyDescent="0.25">
      <c r="A510" s="1" t="s">
        <v>45</v>
      </c>
      <c r="B510">
        <v>18</v>
      </c>
      <c r="C510">
        <v>3</v>
      </c>
      <c r="D510" s="1" t="s">
        <v>571</v>
      </c>
    </row>
    <row r="511" spans="1:4" x14ac:dyDescent="0.25">
      <c r="A511" s="1" t="s">
        <v>45</v>
      </c>
      <c r="B511">
        <v>25</v>
      </c>
      <c r="C511">
        <v>3</v>
      </c>
      <c r="D511" s="1" t="s">
        <v>571</v>
      </c>
    </row>
    <row r="512" spans="1:4" x14ac:dyDescent="0.25">
      <c r="A512" s="1" t="s">
        <v>45</v>
      </c>
      <c r="B512">
        <v>34</v>
      </c>
      <c r="C512">
        <v>3</v>
      </c>
      <c r="D512" s="1" t="s">
        <v>571</v>
      </c>
    </row>
    <row r="513" spans="1:4" x14ac:dyDescent="0.25">
      <c r="A513" s="1" t="s">
        <v>45</v>
      </c>
      <c r="B513">
        <v>38</v>
      </c>
      <c r="C513">
        <v>3</v>
      </c>
      <c r="D513" s="1" t="s">
        <v>571</v>
      </c>
    </row>
    <row r="514" spans="1:4" x14ac:dyDescent="0.25">
      <c r="A514" s="1" t="s">
        <v>66</v>
      </c>
      <c r="B514">
        <v>8</v>
      </c>
      <c r="C514">
        <v>3</v>
      </c>
      <c r="D514" s="1" t="s">
        <v>571</v>
      </c>
    </row>
    <row r="515" spans="1:4" x14ac:dyDescent="0.25">
      <c r="A515" s="1" t="s">
        <v>66</v>
      </c>
      <c r="B515">
        <v>10</v>
      </c>
      <c r="C515">
        <v>3</v>
      </c>
      <c r="D515" s="1" t="s">
        <v>571</v>
      </c>
    </row>
    <row r="516" spans="1:4" x14ac:dyDescent="0.25">
      <c r="A516" s="1" t="s">
        <v>66</v>
      </c>
      <c r="B516">
        <v>12</v>
      </c>
      <c r="C516">
        <v>3</v>
      </c>
      <c r="D516" s="1" t="s">
        <v>571</v>
      </c>
    </row>
    <row r="517" spans="1:4" x14ac:dyDescent="0.25">
      <c r="A517" s="1" t="s">
        <v>66</v>
      </c>
      <c r="B517">
        <v>15</v>
      </c>
      <c r="C517">
        <v>3</v>
      </c>
      <c r="D517" s="1" t="s">
        <v>571</v>
      </c>
    </row>
    <row r="518" spans="1:4" x14ac:dyDescent="0.25">
      <c r="A518" s="1" t="s">
        <v>66</v>
      </c>
      <c r="B518">
        <v>17</v>
      </c>
      <c r="C518">
        <v>3</v>
      </c>
      <c r="D518" s="1" t="s">
        <v>571</v>
      </c>
    </row>
    <row r="519" spans="1:4" x14ac:dyDescent="0.25">
      <c r="A519" s="1" t="s">
        <v>66</v>
      </c>
      <c r="B519">
        <v>27</v>
      </c>
      <c r="C519">
        <v>3</v>
      </c>
      <c r="D519" s="1" t="s">
        <v>571</v>
      </c>
    </row>
    <row r="520" spans="1:4" x14ac:dyDescent="0.25">
      <c r="A520" s="1" t="s">
        <v>66</v>
      </c>
      <c r="B520">
        <v>34</v>
      </c>
      <c r="C520">
        <v>3</v>
      </c>
      <c r="D520" s="1" t="s">
        <v>571</v>
      </c>
    </row>
    <row r="521" spans="1:4" x14ac:dyDescent="0.25">
      <c r="A521" s="1" t="s">
        <v>66</v>
      </c>
      <c r="B521">
        <v>38</v>
      </c>
      <c r="C521">
        <v>3</v>
      </c>
      <c r="D521" s="1" t="s">
        <v>571</v>
      </c>
    </row>
    <row r="522" spans="1:4" x14ac:dyDescent="0.25">
      <c r="A522" s="1" t="s">
        <v>22</v>
      </c>
      <c r="B522">
        <v>19</v>
      </c>
      <c r="C522">
        <v>3</v>
      </c>
      <c r="D522" s="1" t="s">
        <v>571</v>
      </c>
    </row>
    <row r="523" spans="1:4" x14ac:dyDescent="0.25">
      <c r="A523" s="1" t="s">
        <v>22</v>
      </c>
      <c r="B523">
        <v>24</v>
      </c>
      <c r="C523">
        <v>3</v>
      </c>
      <c r="D523" s="1" t="s">
        <v>571</v>
      </c>
    </row>
    <row r="524" spans="1:4" x14ac:dyDescent="0.25">
      <c r="A524" s="1" t="s">
        <v>22</v>
      </c>
      <c r="B524">
        <v>26</v>
      </c>
      <c r="C524">
        <v>3</v>
      </c>
      <c r="D524" s="1" t="s">
        <v>571</v>
      </c>
    </row>
    <row r="525" spans="1:4" x14ac:dyDescent="0.25">
      <c r="A525" s="1" t="s">
        <v>22</v>
      </c>
      <c r="B525">
        <v>29</v>
      </c>
      <c r="C525">
        <v>3</v>
      </c>
      <c r="D525" s="1" t="s">
        <v>571</v>
      </c>
    </row>
    <row r="526" spans="1:4" x14ac:dyDescent="0.25">
      <c r="A526" s="1" t="s">
        <v>22</v>
      </c>
      <c r="B526">
        <v>31</v>
      </c>
      <c r="C526">
        <v>3</v>
      </c>
      <c r="D526" s="1" t="s">
        <v>571</v>
      </c>
    </row>
    <row r="527" spans="1:4" x14ac:dyDescent="0.25">
      <c r="A527" s="1" t="s">
        <v>22</v>
      </c>
      <c r="B527">
        <v>37</v>
      </c>
      <c r="C527">
        <v>3</v>
      </c>
      <c r="D527" s="1" t="s">
        <v>571</v>
      </c>
    </row>
    <row r="528" spans="1:4" x14ac:dyDescent="0.25">
      <c r="A528" s="1" t="s">
        <v>117</v>
      </c>
      <c r="B528">
        <v>8</v>
      </c>
      <c r="C528">
        <v>3</v>
      </c>
      <c r="D528" s="1" t="s">
        <v>571</v>
      </c>
    </row>
    <row r="529" spans="1:4" x14ac:dyDescent="0.25">
      <c r="A529" s="1" t="s">
        <v>117</v>
      </c>
      <c r="B529">
        <v>13</v>
      </c>
      <c r="C529">
        <v>3</v>
      </c>
      <c r="D529" s="1" t="s">
        <v>571</v>
      </c>
    </row>
    <row r="530" spans="1:4" x14ac:dyDescent="0.25">
      <c r="A530" s="1" t="s">
        <v>117</v>
      </c>
      <c r="B530">
        <v>15</v>
      </c>
      <c r="C530">
        <v>3</v>
      </c>
      <c r="D530" s="1" t="s">
        <v>571</v>
      </c>
    </row>
    <row r="531" spans="1:4" x14ac:dyDescent="0.25">
      <c r="A531" s="1" t="s">
        <v>117</v>
      </c>
      <c r="B531">
        <v>23</v>
      </c>
      <c r="C531">
        <v>3</v>
      </c>
      <c r="D531" s="1" t="s">
        <v>571</v>
      </c>
    </row>
    <row r="532" spans="1:4" x14ac:dyDescent="0.25">
      <c r="A532" s="1" t="s">
        <v>117</v>
      </c>
      <c r="B532">
        <v>28</v>
      </c>
      <c r="C532">
        <v>3</v>
      </c>
      <c r="D532" s="1" t="s">
        <v>571</v>
      </c>
    </row>
    <row r="533" spans="1:4" x14ac:dyDescent="0.25">
      <c r="A533" s="1" t="s">
        <v>117</v>
      </c>
      <c r="B533">
        <v>31</v>
      </c>
      <c r="C533">
        <v>3</v>
      </c>
      <c r="D533" s="1" t="s">
        <v>571</v>
      </c>
    </row>
    <row r="534" spans="1:4" x14ac:dyDescent="0.25">
      <c r="A534" s="1" t="s">
        <v>117</v>
      </c>
      <c r="B534">
        <v>36</v>
      </c>
      <c r="C534">
        <v>3</v>
      </c>
      <c r="D534" s="1" t="s">
        <v>571</v>
      </c>
    </row>
    <row r="535" spans="1:4" x14ac:dyDescent="0.25">
      <c r="A535" s="1" t="s">
        <v>117</v>
      </c>
      <c r="B535">
        <v>38</v>
      </c>
      <c r="C535">
        <v>3</v>
      </c>
      <c r="D535" s="1" t="s">
        <v>571</v>
      </c>
    </row>
    <row r="536" spans="1:4" x14ac:dyDescent="0.25">
      <c r="A536" s="1" t="s">
        <v>54</v>
      </c>
      <c r="B536">
        <v>9</v>
      </c>
      <c r="C536">
        <v>3</v>
      </c>
      <c r="D536" s="1" t="s">
        <v>571</v>
      </c>
    </row>
    <row r="537" spans="1:4" x14ac:dyDescent="0.25">
      <c r="A537" s="1" t="s">
        <v>54</v>
      </c>
      <c r="B537">
        <v>13</v>
      </c>
      <c r="C537">
        <v>3</v>
      </c>
      <c r="D537" s="1" t="s">
        <v>571</v>
      </c>
    </row>
    <row r="538" spans="1:4" x14ac:dyDescent="0.25">
      <c r="A538" s="1" t="s">
        <v>54</v>
      </c>
      <c r="B538">
        <v>21</v>
      </c>
      <c r="C538">
        <v>3</v>
      </c>
      <c r="D538" s="1" t="s">
        <v>571</v>
      </c>
    </row>
    <row r="539" spans="1:4" x14ac:dyDescent="0.25">
      <c r="A539" s="1" t="s">
        <v>54</v>
      </c>
      <c r="B539">
        <v>26</v>
      </c>
      <c r="C539">
        <v>3</v>
      </c>
      <c r="D539" s="1" t="s">
        <v>571</v>
      </c>
    </row>
    <row r="540" spans="1:4" x14ac:dyDescent="0.25">
      <c r="A540" s="1" t="s">
        <v>54</v>
      </c>
      <c r="B540">
        <v>28</v>
      </c>
      <c r="C540">
        <v>3</v>
      </c>
      <c r="D540" s="1" t="s">
        <v>571</v>
      </c>
    </row>
    <row r="541" spans="1:4" x14ac:dyDescent="0.25">
      <c r="A541" s="1" t="s">
        <v>54</v>
      </c>
      <c r="B541">
        <v>34</v>
      </c>
      <c r="C541">
        <v>3</v>
      </c>
      <c r="D541" s="1" t="s">
        <v>571</v>
      </c>
    </row>
    <row r="542" spans="1:4" x14ac:dyDescent="0.25">
      <c r="A542" s="1" t="s">
        <v>54</v>
      </c>
      <c r="B542">
        <v>37</v>
      </c>
      <c r="C542">
        <v>3</v>
      </c>
      <c r="D542" s="1" t="s">
        <v>571</v>
      </c>
    </row>
    <row r="543" spans="1:4" x14ac:dyDescent="0.25">
      <c r="A543" s="1" t="s">
        <v>177</v>
      </c>
      <c r="B543">
        <v>8</v>
      </c>
      <c r="C543">
        <v>3</v>
      </c>
      <c r="D543" s="1" t="s">
        <v>571</v>
      </c>
    </row>
    <row r="544" spans="1:4" x14ac:dyDescent="0.25">
      <c r="A544" s="1" t="s">
        <v>177</v>
      </c>
      <c r="B544">
        <v>10</v>
      </c>
      <c r="C544">
        <v>3</v>
      </c>
      <c r="D544" s="1" t="s">
        <v>571</v>
      </c>
    </row>
    <row r="545" spans="1:4" x14ac:dyDescent="0.25">
      <c r="A545" s="1" t="s">
        <v>177</v>
      </c>
      <c r="B545">
        <v>12</v>
      </c>
      <c r="C545">
        <v>3</v>
      </c>
      <c r="D545" s="1" t="s">
        <v>571</v>
      </c>
    </row>
    <row r="546" spans="1:4" x14ac:dyDescent="0.25">
      <c r="A546" s="1" t="s">
        <v>177</v>
      </c>
      <c r="B546">
        <v>17</v>
      </c>
      <c r="C546">
        <v>3</v>
      </c>
      <c r="D546" s="1" t="s">
        <v>571</v>
      </c>
    </row>
    <row r="547" spans="1:4" x14ac:dyDescent="0.25">
      <c r="A547" s="1" t="s">
        <v>177</v>
      </c>
      <c r="B547">
        <v>18</v>
      </c>
      <c r="C547">
        <v>3</v>
      </c>
      <c r="D547" s="1" t="s">
        <v>571</v>
      </c>
    </row>
    <row r="548" spans="1:4" x14ac:dyDescent="0.25">
      <c r="A548" s="1" t="s">
        <v>177</v>
      </c>
      <c r="B548">
        <v>20</v>
      </c>
      <c r="C548">
        <v>3</v>
      </c>
      <c r="D548" s="1" t="s">
        <v>571</v>
      </c>
    </row>
    <row r="549" spans="1:4" x14ac:dyDescent="0.25">
      <c r="A549" s="1" t="s">
        <v>177</v>
      </c>
      <c r="B549">
        <v>25</v>
      </c>
      <c r="C549">
        <v>3</v>
      </c>
      <c r="D549" s="1" t="s">
        <v>571</v>
      </c>
    </row>
    <row r="550" spans="1:4" x14ac:dyDescent="0.25">
      <c r="A550" s="1" t="s">
        <v>177</v>
      </c>
      <c r="B550">
        <v>29</v>
      </c>
      <c r="C550">
        <v>3</v>
      </c>
      <c r="D550" s="1" t="s">
        <v>571</v>
      </c>
    </row>
    <row r="551" spans="1:4" x14ac:dyDescent="0.25">
      <c r="A551" s="1" t="s">
        <v>177</v>
      </c>
      <c r="B551">
        <v>36</v>
      </c>
      <c r="C551">
        <v>3</v>
      </c>
      <c r="D551" s="1" t="s">
        <v>571</v>
      </c>
    </row>
    <row r="552" spans="1:4" x14ac:dyDescent="0.25">
      <c r="A552" s="1" t="s">
        <v>80</v>
      </c>
      <c r="B552">
        <v>7</v>
      </c>
      <c r="C552">
        <v>3</v>
      </c>
      <c r="D552" s="1" t="s">
        <v>571</v>
      </c>
    </row>
    <row r="553" spans="1:4" x14ac:dyDescent="0.25">
      <c r="A553" s="1" t="s">
        <v>80</v>
      </c>
      <c r="B553">
        <v>9</v>
      </c>
      <c r="C553">
        <v>3</v>
      </c>
      <c r="D553" s="1" t="s">
        <v>571</v>
      </c>
    </row>
    <row r="554" spans="1:4" x14ac:dyDescent="0.25">
      <c r="A554" s="1" t="s">
        <v>80</v>
      </c>
      <c r="B554">
        <v>14</v>
      </c>
      <c r="C554">
        <v>3</v>
      </c>
      <c r="D554" s="1" t="s">
        <v>571</v>
      </c>
    </row>
    <row r="555" spans="1:4" x14ac:dyDescent="0.25">
      <c r="A555" s="1" t="s">
        <v>80</v>
      </c>
      <c r="B555">
        <v>18</v>
      </c>
      <c r="C555">
        <v>3</v>
      </c>
      <c r="D555" s="1" t="s">
        <v>571</v>
      </c>
    </row>
    <row r="556" spans="1:4" x14ac:dyDescent="0.25">
      <c r="A556" s="1" t="s">
        <v>80</v>
      </c>
      <c r="B556">
        <v>23</v>
      </c>
      <c r="C556">
        <v>3</v>
      </c>
      <c r="D556" s="1" t="s">
        <v>571</v>
      </c>
    </row>
    <row r="557" spans="1:4" x14ac:dyDescent="0.25">
      <c r="A557" s="1" t="s">
        <v>80</v>
      </c>
      <c r="B557">
        <v>27</v>
      </c>
      <c r="C557">
        <v>3</v>
      </c>
      <c r="D557" s="1" t="s">
        <v>571</v>
      </c>
    </row>
    <row r="558" spans="1:4" x14ac:dyDescent="0.25">
      <c r="A558" s="1" t="s">
        <v>80</v>
      </c>
      <c r="B558">
        <v>30</v>
      </c>
      <c r="C558">
        <v>3</v>
      </c>
      <c r="D558" s="1" t="s">
        <v>571</v>
      </c>
    </row>
    <row r="559" spans="1:4" x14ac:dyDescent="0.25">
      <c r="A559" s="1" t="s">
        <v>170</v>
      </c>
      <c r="B559">
        <v>14</v>
      </c>
      <c r="C559">
        <v>3</v>
      </c>
      <c r="D559" s="1" t="s">
        <v>571</v>
      </c>
    </row>
    <row r="560" spans="1:4" x14ac:dyDescent="0.25">
      <c r="A560" s="1" t="s">
        <v>170</v>
      </c>
      <c r="B560">
        <v>16</v>
      </c>
      <c r="C560">
        <v>3</v>
      </c>
      <c r="D560" s="1" t="s">
        <v>571</v>
      </c>
    </row>
    <row r="561" spans="1:4" x14ac:dyDescent="0.25">
      <c r="A561" s="1" t="s">
        <v>170</v>
      </c>
      <c r="B561">
        <v>22</v>
      </c>
      <c r="C561">
        <v>3</v>
      </c>
      <c r="D561" s="1" t="s">
        <v>571</v>
      </c>
    </row>
    <row r="562" spans="1:4" x14ac:dyDescent="0.25">
      <c r="A562" s="1" t="s">
        <v>170</v>
      </c>
      <c r="B562">
        <v>24</v>
      </c>
      <c r="C562">
        <v>3</v>
      </c>
      <c r="D562" s="1" t="s">
        <v>571</v>
      </c>
    </row>
    <row r="563" spans="1:4" x14ac:dyDescent="0.25">
      <c r="A563" s="1" t="s">
        <v>170</v>
      </c>
      <c r="B563">
        <v>28</v>
      </c>
      <c r="C563">
        <v>3</v>
      </c>
      <c r="D563" s="1" t="s">
        <v>571</v>
      </c>
    </row>
    <row r="564" spans="1:4" x14ac:dyDescent="0.25">
      <c r="A564" s="1" t="s">
        <v>170</v>
      </c>
      <c r="B564">
        <v>30</v>
      </c>
      <c r="C564">
        <v>3</v>
      </c>
      <c r="D564" s="1" t="s">
        <v>571</v>
      </c>
    </row>
    <row r="565" spans="1:4" x14ac:dyDescent="0.25">
      <c r="A565" s="1" t="s">
        <v>170</v>
      </c>
      <c r="B565">
        <v>33</v>
      </c>
      <c r="C565">
        <v>3</v>
      </c>
      <c r="D565" s="1" t="s">
        <v>571</v>
      </c>
    </row>
    <row r="566" spans="1:4" x14ac:dyDescent="0.25">
      <c r="A566" s="1" t="s">
        <v>165</v>
      </c>
      <c r="B566">
        <v>6</v>
      </c>
      <c r="C566">
        <v>3</v>
      </c>
      <c r="D566" s="1" t="s">
        <v>571</v>
      </c>
    </row>
    <row r="567" spans="1:4" x14ac:dyDescent="0.25">
      <c r="A567" s="1" t="s">
        <v>165</v>
      </c>
      <c r="B567">
        <v>8</v>
      </c>
      <c r="C567">
        <v>3</v>
      </c>
      <c r="D567" s="1" t="s">
        <v>571</v>
      </c>
    </row>
    <row r="568" spans="1:4" x14ac:dyDescent="0.25">
      <c r="A568" s="1" t="s">
        <v>165</v>
      </c>
      <c r="B568">
        <v>15</v>
      </c>
      <c r="C568">
        <v>3</v>
      </c>
      <c r="D568" s="1" t="s">
        <v>571</v>
      </c>
    </row>
    <row r="569" spans="1:4" x14ac:dyDescent="0.25">
      <c r="A569" s="1" t="s">
        <v>165</v>
      </c>
      <c r="B569">
        <v>24</v>
      </c>
      <c r="C569">
        <v>3</v>
      </c>
      <c r="D569" s="1" t="s">
        <v>571</v>
      </c>
    </row>
    <row r="570" spans="1:4" x14ac:dyDescent="0.25">
      <c r="A570" s="1" t="s">
        <v>165</v>
      </c>
      <c r="B570">
        <v>26</v>
      </c>
      <c r="C570">
        <v>3</v>
      </c>
      <c r="D570" s="1" t="s">
        <v>571</v>
      </c>
    </row>
    <row r="571" spans="1:4" x14ac:dyDescent="0.25">
      <c r="A571" s="1" t="s">
        <v>165</v>
      </c>
      <c r="B571">
        <v>29</v>
      </c>
      <c r="C571">
        <v>3</v>
      </c>
      <c r="D571" s="1" t="s">
        <v>571</v>
      </c>
    </row>
    <row r="572" spans="1:4" x14ac:dyDescent="0.25">
      <c r="A572" s="1" t="s">
        <v>165</v>
      </c>
      <c r="B572">
        <v>34</v>
      </c>
      <c r="C572">
        <v>3</v>
      </c>
      <c r="D572" s="1" t="s">
        <v>571</v>
      </c>
    </row>
    <row r="573" spans="1:4" x14ac:dyDescent="0.25">
      <c r="A573" s="1" t="s">
        <v>165</v>
      </c>
      <c r="B573">
        <v>36</v>
      </c>
      <c r="C573">
        <v>3</v>
      </c>
      <c r="D573" s="1" t="s">
        <v>571</v>
      </c>
    </row>
    <row r="574" spans="1:4" x14ac:dyDescent="0.25">
      <c r="A574" s="1" t="s">
        <v>122</v>
      </c>
      <c r="B574">
        <v>17</v>
      </c>
      <c r="C574">
        <v>3</v>
      </c>
      <c r="D574" s="1" t="s">
        <v>571</v>
      </c>
    </row>
    <row r="575" spans="1:4" x14ac:dyDescent="0.25">
      <c r="A575" s="1" t="s">
        <v>122</v>
      </c>
      <c r="B575">
        <v>18</v>
      </c>
      <c r="C575">
        <v>3</v>
      </c>
      <c r="D575" s="1" t="s">
        <v>571</v>
      </c>
    </row>
    <row r="576" spans="1:4" x14ac:dyDescent="0.25">
      <c r="A576" s="1" t="s">
        <v>122</v>
      </c>
      <c r="B576">
        <v>21</v>
      </c>
      <c r="C576">
        <v>3</v>
      </c>
      <c r="D576" s="1" t="s">
        <v>571</v>
      </c>
    </row>
    <row r="577" spans="1:4" x14ac:dyDescent="0.25">
      <c r="A577" s="1" t="s">
        <v>122</v>
      </c>
      <c r="B577">
        <v>23</v>
      </c>
      <c r="C577">
        <v>3</v>
      </c>
      <c r="D577" s="1" t="s">
        <v>571</v>
      </c>
    </row>
    <row r="578" spans="1:4" x14ac:dyDescent="0.25">
      <c r="A578" s="1" t="s">
        <v>122</v>
      </c>
      <c r="B578">
        <v>29</v>
      </c>
      <c r="C578">
        <v>3</v>
      </c>
      <c r="D578" s="1" t="s">
        <v>571</v>
      </c>
    </row>
    <row r="579" spans="1:4" x14ac:dyDescent="0.25">
      <c r="A579" s="1" t="s">
        <v>122</v>
      </c>
      <c r="B579">
        <v>31</v>
      </c>
      <c r="C579">
        <v>3</v>
      </c>
      <c r="D579" s="1" t="s">
        <v>571</v>
      </c>
    </row>
    <row r="580" spans="1:4" x14ac:dyDescent="0.25">
      <c r="A580" s="1" t="s">
        <v>96</v>
      </c>
      <c r="B580">
        <v>14</v>
      </c>
      <c r="C580">
        <v>2</v>
      </c>
      <c r="D580" s="1" t="s">
        <v>571</v>
      </c>
    </row>
    <row r="581" spans="1:4" x14ac:dyDescent="0.25">
      <c r="A581" s="1" t="s">
        <v>96</v>
      </c>
      <c r="B581">
        <v>16</v>
      </c>
      <c r="C581">
        <v>2</v>
      </c>
      <c r="D581" s="1" t="s">
        <v>571</v>
      </c>
    </row>
    <row r="582" spans="1:4" x14ac:dyDescent="0.25">
      <c r="A582" s="1" t="s">
        <v>96</v>
      </c>
      <c r="B582">
        <v>21</v>
      </c>
      <c r="C582">
        <v>2</v>
      </c>
      <c r="D582" s="1" t="s">
        <v>571</v>
      </c>
    </row>
    <row r="583" spans="1:4" x14ac:dyDescent="0.25">
      <c r="A583" s="1" t="s">
        <v>96</v>
      </c>
      <c r="B583">
        <v>23</v>
      </c>
      <c r="C583">
        <v>2</v>
      </c>
      <c r="D583" s="1" t="s">
        <v>571</v>
      </c>
    </row>
    <row r="584" spans="1:4" x14ac:dyDescent="0.25">
      <c r="A584" s="1" t="s">
        <v>96</v>
      </c>
      <c r="B584">
        <v>26</v>
      </c>
      <c r="C584">
        <v>2</v>
      </c>
      <c r="D584" s="1" t="s">
        <v>571</v>
      </c>
    </row>
    <row r="585" spans="1:4" x14ac:dyDescent="0.25">
      <c r="A585" s="1" t="s">
        <v>96</v>
      </c>
      <c r="B585">
        <v>28</v>
      </c>
      <c r="C585">
        <v>2</v>
      </c>
      <c r="D585" s="1" t="s">
        <v>571</v>
      </c>
    </row>
    <row r="586" spans="1:4" x14ac:dyDescent="0.25">
      <c r="A586" s="1" t="s">
        <v>104</v>
      </c>
      <c r="B586">
        <v>10</v>
      </c>
      <c r="C586">
        <v>2</v>
      </c>
      <c r="D586" s="1" t="s">
        <v>571</v>
      </c>
    </row>
    <row r="587" spans="1:4" x14ac:dyDescent="0.25">
      <c r="A587" s="1" t="s">
        <v>104</v>
      </c>
      <c r="B587">
        <v>19</v>
      </c>
      <c r="C587">
        <v>2</v>
      </c>
      <c r="D587" s="1" t="s">
        <v>571</v>
      </c>
    </row>
    <row r="588" spans="1:4" x14ac:dyDescent="0.25">
      <c r="A588" s="1" t="s">
        <v>104</v>
      </c>
      <c r="B588">
        <v>26</v>
      </c>
      <c r="C588">
        <v>2</v>
      </c>
      <c r="D588" s="1" t="s">
        <v>571</v>
      </c>
    </row>
    <row r="589" spans="1:4" x14ac:dyDescent="0.25">
      <c r="A589" s="1" t="s">
        <v>104</v>
      </c>
      <c r="B589">
        <v>28</v>
      </c>
      <c r="C589">
        <v>2</v>
      </c>
      <c r="D589" s="1" t="s">
        <v>571</v>
      </c>
    </row>
    <row r="590" spans="1:4" x14ac:dyDescent="0.25">
      <c r="A590" s="1" t="s">
        <v>104</v>
      </c>
      <c r="B590">
        <v>34</v>
      </c>
      <c r="C590">
        <v>2</v>
      </c>
      <c r="D590" s="1" t="s">
        <v>571</v>
      </c>
    </row>
    <row r="591" spans="1:4" x14ac:dyDescent="0.25">
      <c r="A591" s="1" t="s">
        <v>215</v>
      </c>
      <c r="B591">
        <v>9</v>
      </c>
      <c r="C591">
        <v>2</v>
      </c>
      <c r="D591" s="1" t="s">
        <v>571</v>
      </c>
    </row>
    <row r="592" spans="1:4" x14ac:dyDescent="0.25">
      <c r="A592" s="1" t="s">
        <v>215</v>
      </c>
      <c r="B592">
        <v>14</v>
      </c>
      <c r="C592">
        <v>2</v>
      </c>
      <c r="D592" s="1" t="s">
        <v>571</v>
      </c>
    </row>
    <row r="593" spans="1:4" x14ac:dyDescent="0.25">
      <c r="A593" s="1" t="s">
        <v>215</v>
      </c>
      <c r="B593">
        <v>23</v>
      </c>
      <c r="C593">
        <v>2</v>
      </c>
      <c r="D593" s="1" t="s">
        <v>571</v>
      </c>
    </row>
    <row r="594" spans="1:4" x14ac:dyDescent="0.25">
      <c r="A594" s="1" t="s">
        <v>215</v>
      </c>
      <c r="B594">
        <v>29</v>
      </c>
      <c r="C594">
        <v>2</v>
      </c>
      <c r="D594" s="1" t="s">
        <v>571</v>
      </c>
    </row>
    <row r="595" spans="1:4" x14ac:dyDescent="0.25">
      <c r="A595" s="1" t="s">
        <v>215</v>
      </c>
      <c r="B595">
        <v>33</v>
      </c>
      <c r="C595">
        <v>2</v>
      </c>
      <c r="D595" s="1" t="s">
        <v>571</v>
      </c>
    </row>
    <row r="596" spans="1:4" x14ac:dyDescent="0.25">
      <c r="A596" s="1" t="s">
        <v>215</v>
      </c>
      <c r="B596">
        <v>38</v>
      </c>
      <c r="C596">
        <v>2</v>
      </c>
      <c r="D596" s="1" t="s">
        <v>571</v>
      </c>
    </row>
    <row r="597" spans="1:4" x14ac:dyDescent="0.25">
      <c r="A597" s="1" t="s">
        <v>63</v>
      </c>
      <c r="B597">
        <v>19</v>
      </c>
      <c r="C597">
        <v>2</v>
      </c>
      <c r="D597" s="1" t="s">
        <v>571</v>
      </c>
    </row>
    <row r="598" spans="1:4" x14ac:dyDescent="0.25">
      <c r="A598" s="1" t="s">
        <v>63</v>
      </c>
      <c r="B598">
        <v>26</v>
      </c>
      <c r="C598">
        <v>2</v>
      </c>
      <c r="D598" s="1" t="s">
        <v>571</v>
      </c>
    </row>
    <row r="599" spans="1:4" x14ac:dyDescent="0.25">
      <c r="A599" s="1" t="s">
        <v>63</v>
      </c>
      <c r="B599">
        <v>28</v>
      </c>
      <c r="C599">
        <v>2</v>
      </c>
      <c r="D599" s="1" t="s">
        <v>571</v>
      </c>
    </row>
    <row r="600" spans="1:4" x14ac:dyDescent="0.25">
      <c r="A600" s="1" t="s">
        <v>63</v>
      </c>
      <c r="B600">
        <v>33</v>
      </c>
      <c r="C600">
        <v>2</v>
      </c>
      <c r="D600" s="1" t="s">
        <v>571</v>
      </c>
    </row>
    <row r="601" spans="1:4" x14ac:dyDescent="0.25">
      <c r="A601" s="1" t="s">
        <v>63</v>
      </c>
      <c r="B601">
        <v>37</v>
      </c>
      <c r="C601">
        <v>2</v>
      </c>
      <c r="D601" s="1" t="s">
        <v>571</v>
      </c>
    </row>
    <row r="602" spans="1:4" x14ac:dyDescent="0.25">
      <c r="A602" s="1" t="s">
        <v>34</v>
      </c>
      <c r="B602">
        <v>7</v>
      </c>
      <c r="C602">
        <v>2</v>
      </c>
      <c r="D602" s="1" t="s">
        <v>571</v>
      </c>
    </row>
    <row r="603" spans="1:4" x14ac:dyDescent="0.25">
      <c r="A603" s="1" t="s">
        <v>34</v>
      </c>
      <c r="B603">
        <v>16</v>
      </c>
      <c r="C603">
        <v>2</v>
      </c>
      <c r="D603" s="1" t="s">
        <v>571</v>
      </c>
    </row>
    <row r="604" spans="1:4" x14ac:dyDescent="0.25">
      <c r="A604" s="1" t="s">
        <v>34</v>
      </c>
      <c r="B604">
        <v>24</v>
      </c>
      <c r="C604">
        <v>2</v>
      </c>
      <c r="D604" s="1" t="s">
        <v>571</v>
      </c>
    </row>
    <row r="605" spans="1:4" x14ac:dyDescent="0.25">
      <c r="A605" s="1" t="s">
        <v>34</v>
      </c>
      <c r="B605">
        <v>26</v>
      </c>
      <c r="C605">
        <v>2</v>
      </c>
      <c r="D605" s="1" t="s">
        <v>571</v>
      </c>
    </row>
    <row r="606" spans="1:4" x14ac:dyDescent="0.25">
      <c r="A606" s="1" t="s">
        <v>34</v>
      </c>
      <c r="B606">
        <v>28</v>
      </c>
      <c r="C606">
        <v>2</v>
      </c>
      <c r="D606" s="1" t="s">
        <v>571</v>
      </c>
    </row>
    <row r="607" spans="1:4" x14ac:dyDescent="0.25">
      <c r="A607" s="1" t="s">
        <v>34</v>
      </c>
      <c r="B607">
        <v>30</v>
      </c>
      <c r="C607">
        <v>2</v>
      </c>
      <c r="D607" s="1" t="s">
        <v>571</v>
      </c>
    </row>
    <row r="608" spans="1:4" x14ac:dyDescent="0.25">
      <c r="A608" s="1" t="s">
        <v>158</v>
      </c>
      <c r="B608">
        <v>8</v>
      </c>
      <c r="C608">
        <v>2</v>
      </c>
      <c r="D608" s="1" t="s">
        <v>571</v>
      </c>
    </row>
    <row r="609" spans="1:4" x14ac:dyDescent="0.25">
      <c r="A609" s="1" t="s">
        <v>158</v>
      </c>
      <c r="B609">
        <v>13</v>
      </c>
      <c r="C609">
        <v>2</v>
      </c>
      <c r="D609" s="1" t="s">
        <v>571</v>
      </c>
    </row>
    <row r="610" spans="1:4" x14ac:dyDescent="0.25">
      <c r="A610" s="1" t="s">
        <v>158</v>
      </c>
      <c r="B610">
        <v>26</v>
      </c>
      <c r="C610">
        <v>2</v>
      </c>
      <c r="D610" s="1" t="s">
        <v>571</v>
      </c>
    </row>
    <row r="611" spans="1:4" x14ac:dyDescent="0.25">
      <c r="A611" s="1" t="s">
        <v>158</v>
      </c>
      <c r="B611">
        <v>28</v>
      </c>
      <c r="C611">
        <v>2</v>
      </c>
      <c r="D611" s="1" t="s">
        <v>571</v>
      </c>
    </row>
    <row r="612" spans="1:4" x14ac:dyDescent="0.25">
      <c r="A612" s="1" t="s">
        <v>158</v>
      </c>
      <c r="B612">
        <v>31</v>
      </c>
      <c r="C612">
        <v>2</v>
      </c>
      <c r="D612" s="1" t="s">
        <v>571</v>
      </c>
    </row>
    <row r="613" spans="1:4" x14ac:dyDescent="0.25">
      <c r="A613" s="1" t="s">
        <v>75</v>
      </c>
      <c r="B613">
        <v>8</v>
      </c>
      <c r="C613">
        <v>2</v>
      </c>
      <c r="D613" s="1" t="s">
        <v>571</v>
      </c>
    </row>
    <row r="614" spans="1:4" x14ac:dyDescent="0.25">
      <c r="A614" s="1" t="s">
        <v>75</v>
      </c>
      <c r="B614">
        <v>11</v>
      </c>
      <c r="C614">
        <v>2</v>
      </c>
      <c r="D614" s="1" t="s">
        <v>571</v>
      </c>
    </row>
    <row r="615" spans="1:4" x14ac:dyDescent="0.25">
      <c r="A615" s="1" t="s">
        <v>75</v>
      </c>
      <c r="B615">
        <v>13</v>
      </c>
      <c r="C615">
        <v>2</v>
      </c>
      <c r="D615" s="1" t="s">
        <v>571</v>
      </c>
    </row>
    <row r="616" spans="1:4" x14ac:dyDescent="0.25">
      <c r="A616" s="1" t="s">
        <v>75</v>
      </c>
      <c r="B616">
        <v>36</v>
      </c>
      <c r="C616">
        <v>2</v>
      </c>
      <c r="D616" s="1" t="s">
        <v>571</v>
      </c>
    </row>
    <row r="617" spans="1:4" x14ac:dyDescent="0.25">
      <c r="A617" s="1" t="s">
        <v>91</v>
      </c>
      <c r="B617">
        <v>12</v>
      </c>
      <c r="C617">
        <v>2</v>
      </c>
      <c r="D617" s="1" t="s">
        <v>571</v>
      </c>
    </row>
    <row r="618" spans="1:4" x14ac:dyDescent="0.25">
      <c r="A618" s="1" t="s">
        <v>91</v>
      </c>
      <c r="B618">
        <v>22</v>
      </c>
      <c r="C618">
        <v>2</v>
      </c>
      <c r="D618" s="1" t="s">
        <v>571</v>
      </c>
    </row>
    <row r="619" spans="1:4" x14ac:dyDescent="0.25">
      <c r="A619" s="1" t="s">
        <v>91</v>
      </c>
      <c r="B619">
        <v>24</v>
      </c>
      <c r="C619">
        <v>2</v>
      </c>
      <c r="D619" s="1" t="s">
        <v>571</v>
      </c>
    </row>
    <row r="620" spans="1:4" x14ac:dyDescent="0.25">
      <c r="A620" s="1" t="s">
        <v>91</v>
      </c>
      <c r="B620">
        <v>29</v>
      </c>
      <c r="C620">
        <v>2</v>
      </c>
      <c r="D620" s="1" t="s">
        <v>571</v>
      </c>
    </row>
    <row r="621" spans="1:4" x14ac:dyDescent="0.25">
      <c r="A621" s="1" t="s">
        <v>50</v>
      </c>
      <c r="B621">
        <v>10</v>
      </c>
      <c r="C621">
        <v>2</v>
      </c>
      <c r="D621" s="1" t="s">
        <v>571</v>
      </c>
    </row>
    <row r="622" spans="1:4" x14ac:dyDescent="0.25">
      <c r="A622" s="1" t="s">
        <v>50</v>
      </c>
      <c r="B622">
        <v>14</v>
      </c>
      <c r="C622">
        <v>2</v>
      </c>
      <c r="D622" s="1" t="s">
        <v>571</v>
      </c>
    </row>
    <row r="623" spans="1:4" x14ac:dyDescent="0.25">
      <c r="A623" s="1" t="s">
        <v>50</v>
      </c>
      <c r="B623">
        <v>30</v>
      </c>
      <c r="C623">
        <v>2</v>
      </c>
      <c r="D623" s="1" t="s">
        <v>571</v>
      </c>
    </row>
    <row r="624" spans="1:4" x14ac:dyDescent="0.25">
      <c r="A624" s="1" t="s">
        <v>50</v>
      </c>
      <c r="B624">
        <v>35</v>
      </c>
      <c r="C624">
        <v>2</v>
      </c>
      <c r="D624" s="1" t="s">
        <v>571</v>
      </c>
    </row>
    <row r="625" spans="1:4" x14ac:dyDescent="0.25">
      <c r="A625" s="1" t="s">
        <v>149</v>
      </c>
      <c r="B625">
        <v>7</v>
      </c>
      <c r="C625">
        <v>2</v>
      </c>
      <c r="D625" s="1" t="s">
        <v>571</v>
      </c>
    </row>
    <row r="626" spans="1:4" x14ac:dyDescent="0.25">
      <c r="A626" s="1" t="s">
        <v>149</v>
      </c>
      <c r="B626">
        <v>20</v>
      </c>
      <c r="C626">
        <v>2</v>
      </c>
      <c r="D626" s="1" t="s">
        <v>571</v>
      </c>
    </row>
    <row r="627" spans="1:4" x14ac:dyDescent="0.25">
      <c r="A627" s="1" t="s">
        <v>149</v>
      </c>
      <c r="B627">
        <v>35</v>
      </c>
      <c r="C627">
        <v>2</v>
      </c>
      <c r="D627" s="1" t="s">
        <v>571</v>
      </c>
    </row>
    <row r="628" spans="1:4" x14ac:dyDescent="0.25">
      <c r="A628" s="1" t="s">
        <v>149</v>
      </c>
      <c r="B628">
        <v>37</v>
      </c>
      <c r="C628">
        <v>2</v>
      </c>
      <c r="D628" s="1" t="s">
        <v>571</v>
      </c>
    </row>
    <row r="629" spans="1:4" x14ac:dyDescent="0.25">
      <c r="A629" s="1" t="s">
        <v>45</v>
      </c>
      <c r="B629">
        <v>9</v>
      </c>
      <c r="C629">
        <v>2</v>
      </c>
      <c r="D629" s="1" t="s">
        <v>571</v>
      </c>
    </row>
    <row r="630" spans="1:4" x14ac:dyDescent="0.25">
      <c r="A630" s="1" t="s">
        <v>45</v>
      </c>
      <c r="B630">
        <v>15</v>
      </c>
      <c r="C630">
        <v>2</v>
      </c>
      <c r="D630" s="1" t="s">
        <v>571</v>
      </c>
    </row>
    <row r="631" spans="1:4" x14ac:dyDescent="0.25">
      <c r="A631" s="1" t="s">
        <v>45</v>
      </c>
      <c r="B631">
        <v>23</v>
      </c>
      <c r="C631">
        <v>2</v>
      </c>
      <c r="D631" s="1" t="s">
        <v>571</v>
      </c>
    </row>
    <row r="632" spans="1:4" x14ac:dyDescent="0.25">
      <c r="A632" s="1" t="s">
        <v>45</v>
      </c>
      <c r="B632">
        <v>32</v>
      </c>
      <c r="C632">
        <v>2</v>
      </c>
      <c r="D632" s="1" t="s">
        <v>571</v>
      </c>
    </row>
    <row r="633" spans="1:4" x14ac:dyDescent="0.25">
      <c r="A633" s="1" t="s">
        <v>45</v>
      </c>
      <c r="B633">
        <v>36</v>
      </c>
      <c r="C633">
        <v>2</v>
      </c>
      <c r="D633" s="1" t="s">
        <v>571</v>
      </c>
    </row>
    <row r="634" spans="1:4" x14ac:dyDescent="0.25">
      <c r="A634" s="1" t="s">
        <v>66</v>
      </c>
      <c r="B634">
        <v>6</v>
      </c>
      <c r="C634">
        <v>2</v>
      </c>
      <c r="D634" s="1" t="s">
        <v>571</v>
      </c>
    </row>
    <row r="635" spans="1:4" x14ac:dyDescent="0.25">
      <c r="A635" s="1" t="s">
        <v>66</v>
      </c>
      <c r="B635">
        <v>20</v>
      </c>
      <c r="C635">
        <v>2</v>
      </c>
      <c r="D635" s="1" t="s">
        <v>571</v>
      </c>
    </row>
    <row r="636" spans="1:4" x14ac:dyDescent="0.25">
      <c r="A636" s="1" t="s">
        <v>66</v>
      </c>
      <c r="B636">
        <v>22</v>
      </c>
      <c r="C636">
        <v>2</v>
      </c>
      <c r="D636" s="1" t="s">
        <v>571</v>
      </c>
    </row>
    <row r="637" spans="1:4" x14ac:dyDescent="0.25">
      <c r="A637" s="1" t="s">
        <v>66</v>
      </c>
      <c r="B637">
        <v>24</v>
      </c>
      <c r="C637">
        <v>2</v>
      </c>
      <c r="D637" s="1" t="s">
        <v>571</v>
      </c>
    </row>
    <row r="638" spans="1:4" x14ac:dyDescent="0.25">
      <c r="A638" s="1" t="s">
        <v>66</v>
      </c>
      <c r="B638">
        <v>30</v>
      </c>
      <c r="C638">
        <v>2</v>
      </c>
      <c r="D638" s="1" t="s">
        <v>571</v>
      </c>
    </row>
    <row r="639" spans="1:4" x14ac:dyDescent="0.25">
      <c r="A639" s="1" t="s">
        <v>22</v>
      </c>
      <c r="B639">
        <v>10</v>
      </c>
      <c r="C639">
        <v>2</v>
      </c>
      <c r="D639" s="1" t="s">
        <v>571</v>
      </c>
    </row>
    <row r="640" spans="1:4" x14ac:dyDescent="0.25">
      <c r="A640" s="1" t="s">
        <v>22</v>
      </c>
      <c r="B640">
        <v>12</v>
      </c>
      <c r="C640">
        <v>2</v>
      </c>
      <c r="D640" s="1" t="s">
        <v>571</v>
      </c>
    </row>
    <row r="641" spans="1:4" x14ac:dyDescent="0.25">
      <c r="A641" s="1" t="s">
        <v>22</v>
      </c>
      <c r="B641">
        <v>14</v>
      </c>
      <c r="C641">
        <v>2</v>
      </c>
      <c r="D641" s="1" t="s">
        <v>571</v>
      </c>
    </row>
    <row r="642" spans="1:4" x14ac:dyDescent="0.25">
      <c r="A642" s="1" t="s">
        <v>22</v>
      </c>
      <c r="B642">
        <v>16</v>
      </c>
      <c r="C642">
        <v>2</v>
      </c>
      <c r="D642" s="1" t="s">
        <v>571</v>
      </c>
    </row>
    <row r="643" spans="1:4" x14ac:dyDescent="0.25">
      <c r="A643" s="1" t="s">
        <v>22</v>
      </c>
      <c r="B643">
        <v>28</v>
      </c>
      <c r="C643">
        <v>2</v>
      </c>
      <c r="D643" s="1" t="s">
        <v>571</v>
      </c>
    </row>
    <row r="644" spans="1:4" x14ac:dyDescent="0.25">
      <c r="A644" s="1" t="s">
        <v>117</v>
      </c>
      <c r="B644">
        <v>16</v>
      </c>
      <c r="C644">
        <v>2</v>
      </c>
      <c r="D644" s="1" t="s">
        <v>571</v>
      </c>
    </row>
    <row r="645" spans="1:4" x14ac:dyDescent="0.25">
      <c r="A645" s="1" t="s">
        <v>117</v>
      </c>
      <c r="B645">
        <v>19</v>
      </c>
      <c r="C645">
        <v>2</v>
      </c>
      <c r="D645" s="1" t="s">
        <v>571</v>
      </c>
    </row>
    <row r="646" spans="1:4" x14ac:dyDescent="0.25">
      <c r="A646" s="1" t="s">
        <v>117</v>
      </c>
      <c r="B646">
        <v>21</v>
      </c>
      <c r="C646">
        <v>2</v>
      </c>
      <c r="D646" s="1" t="s">
        <v>571</v>
      </c>
    </row>
    <row r="647" spans="1:4" x14ac:dyDescent="0.25">
      <c r="A647" s="1" t="s">
        <v>117</v>
      </c>
      <c r="B647">
        <v>26</v>
      </c>
      <c r="C647">
        <v>2</v>
      </c>
      <c r="D647" s="1" t="s">
        <v>571</v>
      </c>
    </row>
    <row r="648" spans="1:4" x14ac:dyDescent="0.25">
      <c r="A648" s="1" t="s">
        <v>117</v>
      </c>
      <c r="B648">
        <v>29</v>
      </c>
      <c r="C648">
        <v>2</v>
      </c>
      <c r="D648" s="1" t="s">
        <v>571</v>
      </c>
    </row>
    <row r="649" spans="1:4" x14ac:dyDescent="0.25">
      <c r="A649" s="1" t="s">
        <v>54</v>
      </c>
      <c r="B649">
        <v>7</v>
      </c>
      <c r="C649">
        <v>2</v>
      </c>
      <c r="D649" s="1" t="s">
        <v>571</v>
      </c>
    </row>
    <row r="650" spans="1:4" x14ac:dyDescent="0.25">
      <c r="A650" s="1" t="s">
        <v>54</v>
      </c>
      <c r="B650">
        <v>11</v>
      </c>
      <c r="C650">
        <v>2</v>
      </c>
      <c r="D650" s="1" t="s">
        <v>571</v>
      </c>
    </row>
    <row r="651" spans="1:4" x14ac:dyDescent="0.25">
      <c r="A651" s="1" t="s">
        <v>54</v>
      </c>
      <c r="B651">
        <v>16</v>
      </c>
      <c r="C651">
        <v>2</v>
      </c>
      <c r="D651" s="1" t="s">
        <v>571</v>
      </c>
    </row>
    <row r="652" spans="1:4" x14ac:dyDescent="0.25">
      <c r="A652" s="1" t="s">
        <v>54</v>
      </c>
      <c r="B652">
        <v>19</v>
      </c>
      <c r="C652">
        <v>2</v>
      </c>
      <c r="D652" s="1" t="s">
        <v>571</v>
      </c>
    </row>
    <row r="653" spans="1:4" x14ac:dyDescent="0.25">
      <c r="A653" s="1" t="s">
        <v>54</v>
      </c>
      <c r="B653">
        <v>32</v>
      </c>
      <c r="C653">
        <v>2</v>
      </c>
      <c r="D653" s="1" t="s">
        <v>571</v>
      </c>
    </row>
    <row r="654" spans="1:4" x14ac:dyDescent="0.25">
      <c r="A654" s="1" t="s">
        <v>177</v>
      </c>
      <c r="B654">
        <v>6</v>
      </c>
      <c r="C654">
        <v>2</v>
      </c>
      <c r="D654" s="1" t="s">
        <v>571</v>
      </c>
    </row>
    <row r="655" spans="1:4" x14ac:dyDescent="0.25">
      <c r="A655" s="1" t="s">
        <v>177</v>
      </c>
      <c r="B655">
        <v>14</v>
      </c>
      <c r="C655">
        <v>2</v>
      </c>
      <c r="D655" s="1" t="s">
        <v>571</v>
      </c>
    </row>
    <row r="656" spans="1:4" x14ac:dyDescent="0.25">
      <c r="A656" s="1" t="s">
        <v>177</v>
      </c>
      <c r="B656">
        <v>31</v>
      </c>
      <c r="C656">
        <v>2</v>
      </c>
      <c r="D656" s="1" t="s">
        <v>571</v>
      </c>
    </row>
    <row r="657" spans="1:4" x14ac:dyDescent="0.25">
      <c r="A657" s="1" t="s">
        <v>177</v>
      </c>
      <c r="B657">
        <v>33</v>
      </c>
      <c r="C657">
        <v>2</v>
      </c>
      <c r="D657" s="1" t="s">
        <v>571</v>
      </c>
    </row>
    <row r="658" spans="1:4" x14ac:dyDescent="0.25">
      <c r="A658" s="1" t="s">
        <v>177</v>
      </c>
      <c r="B658">
        <v>38</v>
      </c>
      <c r="C658">
        <v>2</v>
      </c>
      <c r="D658" s="1" t="s">
        <v>571</v>
      </c>
    </row>
    <row r="659" spans="1:4" x14ac:dyDescent="0.25">
      <c r="A659" s="1" t="s">
        <v>80</v>
      </c>
      <c r="B659">
        <v>21</v>
      </c>
      <c r="C659">
        <v>2</v>
      </c>
      <c r="D659" s="1" t="s">
        <v>571</v>
      </c>
    </row>
    <row r="660" spans="1:4" x14ac:dyDescent="0.25">
      <c r="A660" s="1" t="s">
        <v>80</v>
      </c>
      <c r="B660">
        <v>32</v>
      </c>
      <c r="C660">
        <v>2</v>
      </c>
      <c r="D660" s="1" t="s">
        <v>571</v>
      </c>
    </row>
    <row r="661" spans="1:4" x14ac:dyDescent="0.25">
      <c r="A661" s="1" t="s">
        <v>80</v>
      </c>
      <c r="B661">
        <v>33</v>
      </c>
      <c r="C661">
        <v>2</v>
      </c>
      <c r="D661" s="1" t="s">
        <v>571</v>
      </c>
    </row>
    <row r="662" spans="1:4" x14ac:dyDescent="0.25">
      <c r="A662" s="1" t="s">
        <v>80</v>
      </c>
      <c r="B662">
        <v>35</v>
      </c>
      <c r="C662">
        <v>2</v>
      </c>
      <c r="D662" s="1" t="s">
        <v>571</v>
      </c>
    </row>
    <row r="663" spans="1:4" x14ac:dyDescent="0.25">
      <c r="A663" s="1" t="s">
        <v>80</v>
      </c>
      <c r="B663">
        <v>37</v>
      </c>
      <c r="C663">
        <v>2</v>
      </c>
      <c r="D663" s="1" t="s">
        <v>571</v>
      </c>
    </row>
    <row r="664" spans="1:4" x14ac:dyDescent="0.25">
      <c r="A664" s="1" t="s">
        <v>170</v>
      </c>
      <c r="B664">
        <v>19</v>
      </c>
      <c r="C664">
        <v>2</v>
      </c>
      <c r="D664" s="1" t="s">
        <v>571</v>
      </c>
    </row>
    <row r="665" spans="1:4" x14ac:dyDescent="0.25">
      <c r="A665" s="1" t="s">
        <v>170</v>
      </c>
      <c r="B665">
        <v>20</v>
      </c>
      <c r="C665">
        <v>2</v>
      </c>
      <c r="D665" s="1" t="s">
        <v>571</v>
      </c>
    </row>
    <row r="666" spans="1:4" x14ac:dyDescent="0.25">
      <c r="A666" s="1" t="s">
        <v>170</v>
      </c>
      <c r="B666">
        <v>35</v>
      </c>
      <c r="C666">
        <v>2</v>
      </c>
      <c r="D666" s="1" t="s">
        <v>571</v>
      </c>
    </row>
    <row r="667" spans="1:4" x14ac:dyDescent="0.25">
      <c r="A667" s="1" t="s">
        <v>170</v>
      </c>
      <c r="B667">
        <v>37</v>
      </c>
      <c r="C667">
        <v>2</v>
      </c>
      <c r="D667" s="1" t="s">
        <v>571</v>
      </c>
    </row>
    <row r="668" spans="1:4" x14ac:dyDescent="0.25">
      <c r="A668" s="1" t="s">
        <v>165</v>
      </c>
      <c r="B668">
        <v>12</v>
      </c>
      <c r="C668">
        <v>2</v>
      </c>
      <c r="D668" s="1" t="s">
        <v>571</v>
      </c>
    </row>
    <row r="669" spans="1:4" x14ac:dyDescent="0.25">
      <c r="A669" s="1" t="s">
        <v>165</v>
      </c>
      <c r="B669">
        <v>16</v>
      </c>
      <c r="C669">
        <v>2</v>
      </c>
      <c r="D669" s="1" t="s">
        <v>571</v>
      </c>
    </row>
    <row r="670" spans="1:4" x14ac:dyDescent="0.25">
      <c r="A670" s="1" t="s">
        <v>165</v>
      </c>
      <c r="B670">
        <v>19</v>
      </c>
      <c r="C670">
        <v>2</v>
      </c>
      <c r="D670" s="1" t="s">
        <v>571</v>
      </c>
    </row>
    <row r="671" spans="1:4" x14ac:dyDescent="0.25">
      <c r="A671" s="1" t="s">
        <v>165</v>
      </c>
      <c r="B671">
        <v>22</v>
      </c>
      <c r="C671">
        <v>2</v>
      </c>
      <c r="D671" s="1" t="s">
        <v>571</v>
      </c>
    </row>
    <row r="672" spans="1:4" x14ac:dyDescent="0.25">
      <c r="A672" s="1" t="s">
        <v>165</v>
      </c>
      <c r="B672">
        <v>31</v>
      </c>
      <c r="C672">
        <v>2</v>
      </c>
      <c r="D672" s="1" t="s">
        <v>571</v>
      </c>
    </row>
    <row r="673" spans="1:4" x14ac:dyDescent="0.25">
      <c r="A673" s="1" t="s">
        <v>122</v>
      </c>
      <c r="B673">
        <v>7</v>
      </c>
      <c r="C673">
        <v>2</v>
      </c>
      <c r="D673" s="1" t="s">
        <v>571</v>
      </c>
    </row>
    <row r="674" spans="1:4" x14ac:dyDescent="0.25">
      <c r="A674" s="1" t="s">
        <v>122</v>
      </c>
      <c r="B674">
        <v>9</v>
      </c>
      <c r="C674">
        <v>2</v>
      </c>
      <c r="D674" s="1" t="s">
        <v>571</v>
      </c>
    </row>
    <row r="675" spans="1:4" x14ac:dyDescent="0.25">
      <c r="A675" s="1" t="s">
        <v>122</v>
      </c>
      <c r="B675">
        <v>11</v>
      </c>
      <c r="C675">
        <v>2</v>
      </c>
      <c r="D675" s="1" t="s">
        <v>571</v>
      </c>
    </row>
    <row r="676" spans="1:4" x14ac:dyDescent="0.25">
      <c r="A676" s="1" t="s">
        <v>122</v>
      </c>
      <c r="B676">
        <v>13</v>
      </c>
      <c r="C676">
        <v>2</v>
      </c>
      <c r="D676" s="1" t="s">
        <v>571</v>
      </c>
    </row>
    <row r="677" spans="1:4" x14ac:dyDescent="0.25">
      <c r="A677" s="1" t="s">
        <v>122</v>
      </c>
      <c r="B677">
        <v>33</v>
      </c>
      <c r="C677">
        <v>2</v>
      </c>
      <c r="D677" s="1" t="s">
        <v>571</v>
      </c>
    </row>
    <row r="678" spans="1:4" x14ac:dyDescent="0.25">
      <c r="A678" s="1" t="s">
        <v>96</v>
      </c>
      <c r="B678">
        <v>10</v>
      </c>
      <c r="C678">
        <v>2</v>
      </c>
      <c r="D678" s="1" t="s">
        <v>570</v>
      </c>
    </row>
    <row r="679" spans="1:4" x14ac:dyDescent="0.25">
      <c r="A679" s="1" t="s">
        <v>96</v>
      </c>
      <c r="B679">
        <v>27</v>
      </c>
      <c r="C679">
        <v>2</v>
      </c>
      <c r="D679" s="1" t="s">
        <v>570</v>
      </c>
    </row>
    <row r="680" spans="1:4" x14ac:dyDescent="0.25">
      <c r="A680" s="1" t="s">
        <v>96</v>
      </c>
      <c r="B680">
        <v>34</v>
      </c>
      <c r="C680">
        <v>2</v>
      </c>
      <c r="D680" s="1" t="s">
        <v>570</v>
      </c>
    </row>
    <row r="681" spans="1:4" x14ac:dyDescent="0.25">
      <c r="A681" s="1" t="s">
        <v>104</v>
      </c>
      <c r="B681">
        <v>21</v>
      </c>
      <c r="C681">
        <v>2</v>
      </c>
      <c r="D681" s="1" t="s">
        <v>570</v>
      </c>
    </row>
    <row r="682" spans="1:4" x14ac:dyDescent="0.25">
      <c r="A682" s="1" t="s">
        <v>104</v>
      </c>
      <c r="B682">
        <v>25</v>
      </c>
      <c r="C682">
        <v>2</v>
      </c>
      <c r="D682" s="1" t="s">
        <v>570</v>
      </c>
    </row>
    <row r="683" spans="1:4" x14ac:dyDescent="0.25">
      <c r="A683" s="1" t="s">
        <v>104</v>
      </c>
      <c r="B683">
        <v>31</v>
      </c>
      <c r="C683">
        <v>2</v>
      </c>
      <c r="D683" s="1" t="s">
        <v>570</v>
      </c>
    </row>
    <row r="684" spans="1:4" x14ac:dyDescent="0.25">
      <c r="A684" s="1" t="s">
        <v>215</v>
      </c>
      <c r="B684">
        <v>12</v>
      </c>
      <c r="C684">
        <v>2</v>
      </c>
      <c r="D684" s="1" t="s">
        <v>570</v>
      </c>
    </row>
    <row r="685" spans="1:4" x14ac:dyDescent="0.25">
      <c r="A685" s="1" t="s">
        <v>215</v>
      </c>
      <c r="B685">
        <v>15</v>
      </c>
      <c r="C685">
        <v>2</v>
      </c>
      <c r="D685" s="1" t="s">
        <v>570</v>
      </c>
    </row>
    <row r="686" spans="1:4" x14ac:dyDescent="0.25">
      <c r="A686" s="1" t="s">
        <v>63</v>
      </c>
      <c r="B686">
        <v>8</v>
      </c>
      <c r="C686">
        <v>2</v>
      </c>
      <c r="D686" s="1" t="s">
        <v>570</v>
      </c>
    </row>
    <row r="687" spans="1:4" x14ac:dyDescent="0.25">
      <c r="A687" s="1" t="s">
        <v>63</v>
      </c>
      <c r="B687">
        <v>17</v>
      </c>
      <c r="C687">
        <v>2</v>
      </c>
      <c r="D687" s="1" t="s">
        <v>570</v>
      </c>
    </row>
    <row r="688" spans="1:4" x14ac:dyDescent="0.25">
      <c r="A688" s="1" t="s">
        <v>63</v>
      </c>
      <c r="B688">
        <v>18</v>
      </c>
      <c r="C688">
        <v>2</v>
      </c>
      <c r="D688" s="1" t="s">
        <v>570</v>
      </c>
    </row>
    <row r="689" spans="1:4" x14ac:dyDescent="0.25">
      <c r="A689" s="1" t="s">
        <v>34</v>
      </c>
      <c r="B689">
        <v>11</v>
      </c>
      <c r="C689">
        <v>2</v>
      </c>
      <c r="D689" s="1" t="s">
        <v>570</v>
      </c>
    </row>
    <row r="690" spans="1:4" x14ac:dyDescent="0.25">
      <c r="A690" s="1" t="s">
        <v>34</v>
      </c>
      <c r="B690">
        <v>27</v>
      </c>
      <c r="C690">
        <v>2</v>
      </c>
      <c r="D690" s="1" t="s">
        <v>570</v>
      </c>
    </row>
    <row r="691" spans="1:4" x14ac:dyDescent="0.25">
      <c r="A691" s="1" t="s">
        <v>158</v>
      </c>
      <c r="B691">
        <v>17</v>
      </c>
      <c r="C691">
        <v>2</v>
      </c>
      <c r="D691" s="1" t="s">
        <v>570</v>
      </c>
    </row>
    <row r="692" spans="1:4" x14ac:dyDescent="0.25">
      <c r="A692" s="1" t="s">
        <v>158</v>
      </c>
      <c r="B692">
        <v>18</v>
      </c>
      <c r="C692">
        <v>2</v>
      </c>
      <c r="D692" s="1" t="s">
        <v>570</v>
      </c>
    </row>
    <row r="693" spans="1:4" x14ac:dyDescent="0.25">
      <c r="A693" s="1" t="s">
        <v>158</v>
      </c>
      <c r="B693">
        <v>30</v>
      </c>
      <c r="C693">
        <v>2</v>
      </c>
      <c r="D693" s="1" t="s">
        <v>570</v>
      </c>
    </row>
    <row r="694" spans="1:4" x14ac:dyDescent="0.25">
      <c r="A694" s="1" t="s">
        <v>75</v>
      </c>
      <c r="B694">
        <v>20</v>
      </c>
      <c r="C694">
        <v>2</v>
      </c>
      <c r="D694" s="1" t="s">
        <v>570</v>
      </c>
    </row>
    <row r="695" spans="1:4" x14ac:dyDescent="0.25">
      <c r="A695" s="1" t="s">
        <v>75</v>
      </c>
      <c r="B695">
        <v>32</v>
      </c>
      <c r="C695">
        <v>2</v>
      </c>
      <c r="D695" s="1" t="s">
        <v>570</v>
      </c>
    </row>
    <row r="696" spans="1:4" x14ac:dyDescent="0.25">
      <c r="A696" s="1" t="s">
        <v>91</v>
      </c>
      <c r="B696">
        <v>11</v>
      </c>
      <c r="C696">
        <v>2</v>
      </c>
      <c r="D696" s="1" t="s">
        <v>570</v>
      </c>
    </row>
    <row r="697" spans="1:4" x14ac:dyDescent="0.25">
      <c r="A697" s="1" t="s">
        <v>91</v>
      </c>
      <c r="B697">
        <v>23</v>
      </c>
      <c r="C697">
        <v>2</v>
      </c>
      <c r="D697" s="1" t="s">
        <v>570</v>
      </c>
    </row>
    <row r="698" spans="1:4" x14ac:dyDescent="0.25">
      <c r="A698" s="1" t="s">
        <v>91</v>
      </c>
      <c r="B698">
        <v>30</v>
      </c>
      <c r="C698">
        <v>2</v>
      </c>
      <c r="D698" s="1" t="s">
        <v>570</v>
      </c>
    </row>
    <row r="699" spans="1:4" x14ac:dyDescent="0.25">
      <c r="A699" s="1" t="s">
        <v>50</v>
      </c>
      <c r="B699">
        <v>6</v>
      </c>
      <c r="C699">
        <v>2</v>
      </c>
      <c r="D699" s="1" t="s">
        <v>570</v>
      </c>
    </row>
    <row r="700" spans="1:4" x14ac:dyDescent="0.25">
      <c r="A700" s="1" t="s">
        <v>50</v>
      </c>
      <c r="B700">
        <v>21</v>
      </c>
      <c r="C700">
        <v>2</v>
      </c>
      <c r="D700" s="1" t="s">
        <v>570</v>
      </c>
    </row>
    <row r="701" spans="1:4" x14ac:dyDescent="0.25">
      <c r="A701" s="1" t="s">
        <v>50</v>
      </c>
      <c r="B701">
        <v>38</v>
      </c>
      <c r="C701">
        <v>2</v>
      </c>
      <c r="D701" s="1" t="s">
        <v>570</v>
      </c>
    </row>
    <row r="702" spans="1:4" x14ac:dyDescent="0.25">
      <c r="A702" s="1" t="s">
        <v>149</v>
      </c>
      <c r="B702">
        <v>6</v>
      </c>
      <c r="C702">
        <v>2</v>
      </c>
      <c r="D702" s="1" t="s">
        <v>570</v>
      </c>
    </row>
    <row r="703" spans="1:4" x14ac:dyDescent="0.25">
      <c r="A703" s="1" t="s">
        <v>149</v>
      </c>
      <c r="B703">
        <v>8</v>
      </c>
      <c r="C703">
        <v>2</v>
      </c>
      <c r="D703" s="1" t="s">
        <v>570</v>
      </c>
    </row>
    <row r="704" spans="1:4" x14ac:dyDescent="0.25">
      <c r="A704" s="1" t="s">
        <v>149</v>
      </c>
      <c r="B704">
        <v>36</v>
      </c>
      <c r="C704">
        <v>2</v>
      </c>
      <c r="D704" s="1" t="s">
        <v>570</v>
      </c>
    </row>
    <row r="705" spans="1:4" x14ac:dyDescent="0.25">
      <c r="A705" s="1" t="s">
        <v>45</v>
      </c>
      <c r="B705">
        <v>22</v>
      </c>
      <c r="C705">
        <v>2</v>
      </c>
      <c r="D705" s="1" t="s">
        <v>570</v>
      </c>
    </row>
    <row r="706" spans="1:4" x14ac:dyDescent="0.25">
      <c r="A706" s="1" t="s">
        <v>66</v>
      </c>
      <c r="B706">
        <v>9</v>
      </c>
      <c r="C706">
        <v>2</v>
      </c>
      <c r="D706" s="1" t="s">
        <v>570</v>
      </c>
    </row>
    <row r="707" spans="1:4" x14ac:dyDescent="0.25">
      <c r="A707" s="1" t="s">
        <v>66</v>
      </c>
      <c r="B707">
        <v>13</v>
      </c>
      <c r="C707">
        <v>2</v>
      </c>
      <c r="D707" s="1" t="s">
        <v>570</v>
      </c>
    </row>
    <row r="708" spans="1:4" x14ac:dyDescent="0.25">
      <c r="A708" s="1" t="s">
        <v>22</v>
      </c>
      <c r="B708">
        <v>18</v>
      </c>
      <c r="C708">
        <v>2</v>
      </c>
      <c r="D708" s="1" t="s">
        <v>570</v>
      </c>
    </row>
    <row r="709" spans="1:4" x14ac:dyDescent="0.25">
      <c r="A709" s="1" t="s">
        <v>22</v>
      </c>
      <c r="B709">
        <v>23</v>
      </c>
      <c r="C709">
        <v>2</v>
      </c>
      <c r="D709" s="1" t="s">
        <v>570</v>
      </c>
    </row>
    <row r="710" spans="1:4" x14ac:dyDescent="0.25">
      <c r="A710" s="1" t="s">
        <v>22</v>
      </c>
      <c r="B710">
        <v>34</v>
      </c>
      <c r="C710">
        <v>2</v>
      </c>
      <c r="D710" s="1" t="s">
        <v>570</v>
      </c>
    </row>
    <row r="711" spans="1:4" x14ac:dyDescent="0.25">
      <c r="A711" s="1" t="s">
        <v>117</v>
      </c>
      <c r="B711">
        <v>17</v>
      </c>
      <c r="C711">
        <v>2</v>
      </c>
      <c r="D711" s="1" t="s">
        <v>570</v>
      </c>
    </row>
    <row r="712" spans="1:4" x14ac:dyDescent="0.25">
      <c r="A712" s="1" t="s">
        <v>117</v>
      </c>
      <c r="B712">
        <v>25</v>
      </c>
      <c r="C712">
        <v>2</v>
      </c>
      <c r="D712" s="1" t="s">
        <v>570</v>
      </c>
    </row>
    <row r="713" spans="1:4" x14ac:dyDescent="0.25">
      <c r="A713" s="1" t="s">
        <v>54</v>
      </c>
      <c r="B713">
        <v>27</v>
      </c>
      <c r="C713">
        <v>2</v>
      </c>
      <c r="D713" s="1" t="s">
        <v>570</v>
      </c>
    </row>
    <row r="714" spans="1:4" x14ac:dyDescent="0.25">
      <c r="A714" s="1" t="s">
        <v>54</v>
      </c>
      <c r="B714">
        <v>29</v>
      </c>
      <c r="C714">
        <v>2</v>
      </c>
      <c r="D714" s="1" t="s">
        <v>570</v>
      </c>
    </row>
    <row r="715" spans="1:4" x14ac:dyDescent="0.25">
      <c r="A715" s="1" t="s">
        <v>54</v>
      </c>
      <c r="B715">
        <v>36</v>
      </c>
      <c r="C715">
        <v>2</v>
      </c>
      <c r="D715" s="1" t="s">
        <v>570</v>
      </c>
    </row>
    <row r="716" spans="1:4" x14ac:dyDescent="0.25">
      <c r="A716" s="1" t="s">
        <v>177</v>
      </c>
      <c r="B716">
        <v>32</v>
      </c>
      <c r="C716">
        <v>2</v>
      </c>
      <c r="D716" s="1" t="s">
        <v>570</v>
      </c>
    </row>
    <row r="717" spans="1:4" x14ac:dyDescent="0.25">
      <c r="A717" s="1" t="s">
        <v>177</v>
      </c>
      <c r="B717">
        <v>34</v>
      </c>
      <c r="C717">
        <v>2</v>
      </c>
      <c r="D717" s="1" t="s">
        <v>570</v>
      </c>
    </row>
    <row r="718" spans="1:4" x14ac:dyDescent="0.25">
      <c r="A718" s="1" t="s">
        <v>80</v>
      </c>
      <c r="B718">
        <v>6</v>
      </c>
      <c r="C718">
        <v>2</v>
      </c>
      <c r="D718" s="1" t="s">
        <v>570</v>
      </c>
    </row>
    <row r="719" spans="1:4" x14ac:dyDescent="0.25">
      <c r="A719" s="1" t="s">
        <v>80</v>
      </c>
      <c r="B719">
        <v>15</v>
      </c>
      <c r="C719">
        <v>2</v>
      </c>
      <c r="D719" s="1" t="s">
        <v>570</v>
      </c>
    </row>
    <row r="720" spans="1:4" x14ac:dyDescent="0.25">
      <c r="A720" s="1" t="s">
        <v>80</v>
      </c>
      <c r="B720">
        <v>38</v>
      </c>
      <c r="C720">
        <v>2</v>
      </c>
      <c r="D720" s="1" t="s">
        <v>570</v>
      </c>
    </row>
    <row r="721" spans="1:4" x14ac:dyDescent="0.25">
      <c r="A721" s="1" t="s">
        <v>170</v>
      </c>
      <c r="B721">
        <v>8</v>
      </c>
      <c r="C721">
        <v>2</v>
      </c>
      <c r="D721" s="1" t="s">
        <v>570</v>
      </c>
    </row>
    <row r="722" spans="1:4" x14ac:dyDescent="0.25">
      <c r="A722" s="1" t="s">
        <v>170</v>
      </c>
      <c r="B722">
        <v>13</v>
      </c>
      <c r="C722">
        <v>2</v>
      </c>
      <c r="D722" s="1" t="s">
        <v>570</v>
      </c>
    </row>
    <row r="723" spans="1:4" x14ac:dyDescent="0.25">
      <c r="A723" s="1" t="s">
        <v>170</v>
      </c>
      <c r="B723">
        <v>38</v>
      </c>
      <c r="C723">
        <v>2</v>
      </c>
      <c r="D723" s="1" t="s">
        <v>570</v>
      </c>
    </row>
    <row r="724" spans="1:4" x14ac:dyDescent="0.25">
      <c r="A724" s="1" t="s">
        <v>165</v>
      </c>
      <c r="B724">
        <v>9</v>
      </c>
      <c r="C724">
        <v>2</v>
      </c>
      <c r="D724" s="1" t="s">
        <v>570</v>
      </c>
    </row>
    <row r="725" spans="1:4" x14ac:dyDescent="0.25">
      <c r="A725" s="1" t="s">
        <v>165</v>
      </c>
      <c r="B725">
        <v>25</v>
      </c>
      <c r="C725">
        <v>2</v>
      </c>
      <c r="D725" s="1" t="s">
        <v>570</v>
      </c>
    </row>
    <row r="726" spans="1:4" x14ac:dyDescent="0.25">
      <c r="A726" s="1" t="s">
        <v>122</v>
      </c>
      <c r="B726">
        <v>15</v>
      </c>
      <c r="C726">
        <v>2</v>
      </c>
      <c r="D726" s="1" t="s">
        <v>570</v>
      </c>
    </row>
    <row r="727" spans="1:4" x14ac:dyDescent="0.25">
      <c r="A727" s="1" t="s">
        <v>122</v>
      </c>
      <c r="B727">
        <v>24</v>
      </c>
      <c r="C727">
        <v>2</v>
      </c>
      <c r="D727" s="1" t="s">
        <v>570</v>
      </c>
    </row>
    <row r="728" spans="1:4" x14ac:dyDescent="0.25">
      <c r="A728" s="1" t="s">
        <v>122</v>
      </c>
      <c r="B728">
        <v>36</v>
      </c>
      <c r="C728">
        <v>2</v>
      </c>
      <c r="D728" s="1" t="s">
        <v>570</v>
      </c>
    </row>
    <row r="729" spans="1:4" x14ac:dyDescent="0.25">
      <c r="A729" s="1" t="s">
        <v>96</v>
      </c>
      <c r="B729">
        <v>6</v>
      </c>
      <c r="C729">
        <v>4</v>
      </c>
      <c r="D729" s="1" t="s">
        <v>570</v>
      </c>
    </row>
    <row r="730" spans="1:4" x14ac:dyDescent="0.25">
      <c r="A730" s="1" t="s">
        <v>96</v>
      </c>
      <c r="B730">
        <v>8</v>
      </c>
      <c r="C730">
        <v>4</v>
      </c>
      <c r="D730" s="1" t="s">
        <v>570</v>
      </c>
    </row>
    <row r="731" spans="1:4" x14ac:dyDescent="0.25">
      <c r="A731" s="1" t="s">
        <v>96</v>
      </c>
      <c r="B731">
        <v>20</v>
      </c>
      <c r="C731">
        <v>4</v>
      </c>
      <c r="D731" s="1" t="s">
        <v>570</v>
      </c>
    </row>
    <row r="732" spans="1:4" x14ac:dyDescent="0.25">
      <c r="A732" s="1" t="s">
        <v>96</v>
      </c>
      <c r="B732">
        <v>38</v>
      </c>
      <c r="C732">
        <v>4</v>
      </c>
      <c r="D732" s="1" t="s">
        <v>570</v>
      </c>
    </row>
    <row r="733" spans="1:4" x14ac:dyDescent="0.25">
      <c r="A733" s="1" t="s">
        <v>104</v>
      </c>
      <c r="B733">
        <v>9</v>
      </c>
      <c r="C733">
        <v>4</v>
      </c>
      <c r="D733" s="1" t="s">
        <v>570</v>
      </c>
    </row>
    <row r="734" spans="1:4" x14ac:dyDescent="0.25">
      <c r="A734" s="1" t="s">
        <v>104</v>
      </c>
      <c r="B734">
        <v>27</v>
      </c>
      <c r="C734">
        <v>4</v>
      </c>
      <c r="D734" s="1" t="s">
        <v>570</v>
      </c>
    </row>
    <row r="735" spans="1:4" x14ac:dyDescent="0.25">
      <c r="A735" s="1" t="s">
        <v>104</v>
      </c>
      <c r="B735">
        <v>29</v>
      </c>
      <c r="C735">
        <v>4</v>
      </c>
      <c r="D735" s="1" t="s">
        <v>570</v>
      </c>
    </row>
    <row r="736" spans="1:4" x14ac:dyDescent="0.25">
      <c r="A736" s="1" t="s">
        <v>215</v>
      </c>
      <c r="B736">
        <v>10</v>
      </c>
      <c r="C736">
        <v>4</v>
      </c>
      <c r="D736" s="1" t="s">
        <v>570</v>
      </c>
    </row>
    <row r="737" spans="1:4" x14ac:dyDescent="0.25">
      <c r="A737" s="1" t="s">
        <v>215</v>
      </c>
      <c r="B737">
        <v>16</v>
      </c>
      <c r="C737">
        <v>4</v>
      </c>
      <c r="D737" s="1" t="s">
        <v>570</v>
      </c>
    </row>
    <row r="738" spans="1:4" x14ac:dyDescent="0.25">
      <c r="A738" s="1" t="s">
        <v>215</v>
      </c>
      <c r="B738">
        <v>28</v>
      </c>
      <c r="C738">
        <v>4</v>
      </c>
      <c r="D738" s="1" t="s">
        <v>570</v>
      </c>
    </row>
    <row r="739" spans="1:4" x14ac:dyDescent="0.25">
      <c r="A739" s="1" t="s">
        <v>63</v>
      </c>
      <c r="B739">
        <v>10</v>
      </c>
      <c r="C739">
        <v>4</v>
      </c>
      <c r="D739" s="1" t="s">
        <v>570</v>
      </c>
    </row>
    <row r="740" spans="1:4" x14ac:dyDescent="0.25">
      <c r="A740" s="1" t="s">
        <v>63</v>
      </c>
      <c r="B740">
        <v>12</v>
      </c>
      <c r="C740">
        <v>4</v>
      </c>
      <c r="D740" s="1" t="s">
        <v>570</v>
      </c>
    </row>
    <row r="741" spans="1:4" x14ac:dyDescent="0.25">
      <c r="A741" s="1" t="s">
        <v>63</v>
      </c>
      <c r="B741">
        <v>36</v>
      </c>
      <c r="C741">
        <v>4</v>
      </c>
      <c r="D741" s="1" t="s">
        <v>570</v>
      </c>
    </row>
    <row r="742" spans="1:4" x14ac:dyDescent="0.25">
      <c r="A742" s="1" t="s">
        <v>63</v>
      </c>
      <c r="B742">
        <v>38</v>
      </c>
      <c r="C742">
        <v>4</v>
      </c>
      <c r="D742" s="1" t="s">
        <v>570</v>
      </c>
    </row>
    <row r="743" spans="1:4" x14ac:dyDescent="0.25">
      <c r="A743" s="1" t="s">
        <v>34</v>
      </c>
      <c r="B743">
        <v>8</v>
      </c>
      <c r="C743">
        <v>4</v>
      </c>
      <c r="D743" s="1" t="s">
        <v>570</v>
      </c>
    </row>
    <row r="744" spans="1:4" x14ac:dyDescent="0.25">
      <c r="A744" s="1" t="s">
        <v>34</v>
      </c>
      <c r="B744">
        <v>25</v>
      </c>
      <c r="C744">
        <v>4</v>
      </c>
      <c r="D744" s="1" t="s">
        <v>570</v>
      </c>
    </row>
    <row r="745" spans="1:4" x14ac:dyDescent="0.25">
      <c r="A745" s="1" t="s">
        <v>158</v>
      </c>
      <c r="B745">
        <v>24</v>
      </c>
      <c r="C745">
        <v>4</v>
      </c>
      <c r="D745" s="1" t="s">
        <v>570</v>
      </c>
    </row>
    <row r="746" spans="1:4" x14ac:dyDescent="0.25">
      <c r="A746" s="1" t="s">
        <v>158</v>
      </c>
      <c r="B746">
        <v>32</v>
      </c>
      <c r="C746">
        <v>4</v>
      </c>
      <c r="D746" s="1" t="s">
        <v>570</v>
      </c>
    </row>
    <row r="747" spans="1:4" x14ac:dyDescent="0.25">
      <c r="A747" s="1" t="s">
        <v>158</v>
      </c>
      <c r="B747">
        <v>34</v>
      </c>
      <c r="C747">
        <v>4</v>
      </c>
      <c r="D747" s="1" t="s">
        <v>570</v>
      </c>
    </row>
    <row r="748" spans="1:4" x14ac:dyDescent="0.25">
      <c r="A748" s="1" t="s">
        <v>75</v>
      </c>
      <c r="B748">
        <v>14</v>
      </c>
      <c r="C748">
        <v>4</v>
      </c>
      <c r="D748" s="1" t="s">
        <v>570</v>
      </c>
    </row>
    <row r="749" spans="1:4" x14ac:dyDescent="0.25">
      <c r="A749" s="1" t="s">
        <v>75</v>
      </c>
      <c r="B749">
        <v>19</v>
      </c>
      <c r="C749">
        <v>4</v>
      </c>
      <c r="D749" s="1" t="s">
        <v>570</v>
      </c>
    </row>
    <row r="750" spans="1:4" x14ac:dyDescent="0.25">
      <c r="A750" s="1" t="s">
        <v>75</v>
      </c>
      <c r="B750">
        <v>28</v>
      </c>
      <c r="C750">
        <v>4</v>
      </c>
      <c r="D750" s="1" t="s">
        <v>570</v>
      </c>
    </row>
    <row r="751" spans="1:4" x14ac:dyDescent="0.25">
      <c r="A751" s="1" t="s">
        <v>75</v>
      </c>
      <c r="B751">
        <v>30</v>
      </c>
      <c r="C751">
        <v>4</v>
      </c>
      <c r="D751" s="1" t="s">
        <v>570</v>
      </c>
    </row>
    <row r="752" spans="1:4" x14ac:dyDescent="0.25">
      <c r="A752" s="1" t="s">
        <v>91</v>
      </c>
      <c r="B752">
        <v>7</v>
      </c>
      <c r="C752">
        <v>4</v>
      </c>
      <c r="D752" s="1" t="s">
        <v>570</v>
      </c>
    </row>
    <row r="753" spans="1:4" x14ac:dyDescent="0.25">
      <c r="A753" s="1" t="s">
        <v>91</v>
      </c>
      <c r="B753">
        <v>13</v>
      </c>
      <c r="C753">
        <v>4</v>
      </c>
      <c r="D753" s="1" t="s">
        <v>570</v>
      </c>
    </row>
    <row r="754" spans="1:4" x14ac:dyDescent="0.25">
      <c r="A754" s="1" t="s">
        <v>91</v>
      </c>
      <c r="B754">
        <v>21</v>
      </c>
      <c r="C754">
        <v>4</v>
      </c>
      <c r="D754" s="1" t="s">
        <v>570</v>
      </c>
    </row>
    <row r="755" spans="1:4" x14ac:dyDescent="0.25">
      <c r="A755" s="1" t="s">
        <v>91</v>
      </c>
      <c r="B755">
        <v>33</v>
      </c>
      <c r="C755">
        <v>4</v>
      </c>
      <c r="D755" s="1" t="s">
        <v>570</v>
      </c>
    </row>
    <row r="756" spans="1:4" x14ac:dyDescent="0.25">
      <c r="A756" s="1" t="s">
        <v>50</v>
      </c>
      <c r="B756">
        <v>15</v>
      </c>
      <c r="C756">
        <v>4</v>
      </c>
      <c r="D756" s="1" t="s">
        <v>570</v>
      </c>
    </row>
    <row r="757" spans="1:4" x14ac:dyDescent="0.25">
      <c r="A757" s="1" t="s">
        <v>50</v>
      </c>
      <c r="B757">
        <v>23</v>
      </c>
      <c r="C757">
        <v>4</v>
      </c>
      <c r="D757" s="1" t="s">
        <v>570</v>
      </c>
    </row>
    <row r="758" spans="1:4" x14ac:dyDescent="0.25">
      <c r="A758" s="1" t="s">
        <v>50</v>
      </c>
      <c r="B758">
        <v>29</v>
      </c>
      <c r="C758">
        <v>4</v>
      </c>
      <c r="D758" s="1" t="s">
        <v>570</v>
      </c>
    </row>
    <row r="759" spans="1:4" x14ac:dyDescent="0.25">
      <c r="A759" s="1" t="s">
        <v>50</v>
      </c>
      <c r="B759">
        <v>36</v>
      </c>
      <c r="C759">
        <v>4</v>
      </c>
      <c r="D759" s="1" t="s">
        <v>570</v>
      </c>
    </row>
    <row r="760" spans="1:4" x14ac:dyDescent="0.25">
      <c r="A760" s="1" t="s">
        <v>149</v>
      </c>
      <c r="B760">
        <v>28</v>
      </c>
      <c r="C760">
        <v>4</v>
      </c>
      <c r="D760" s="1" t="s">
        <v>570</v>
      </c>
    </row>
    <row r="761" spans="1:4" x14ac:dyDescent="0.25">
      <c r="A761" s="1" t="s">
        <v>149</v>
      </c>
      <c r="B761">
        <v>31</v>
      </c>
      <c r="C761">
        <v>4</v>
      </c>
      <c r="D761" s="1" t="s">
        <v>570</v>
      </c>
    </row>
    <row r="762" spans="1:4" x14ac:dyDescent="0.25">
      <c r="A762" s="1" t="s">
        <v>149</v>
      </c>
      <c r="B762">
        <v>38</v>
      </c>
      <c r="C762">
        <v>4</v>
      </c>
      <c r="D762" s="1" t="s">
        <v>570</v>
      </c>
    </row>
    <row r="763" spans="1:4" x14ac:dyDescent="0.25">
      <c r="A763" s="1" t="s">
        <v>45</v>
      </c>
      <c r="B763">
        <v>24</v>
      </c>
      <c r="C763">
        <v>4</v>
      </c>
      <c r="D763" s="1" t="s">
        <v>570</v>
      </c>
    </row>
    <row r="764" spans="1:4" x14ac:dyDescent="0.25">
      <c r="A764" s="1" t="s">
        <v>45</v>
      </c>
      <c r="B764">
        <v>26</v>
      </c>
      <c r="C764">
        <v>4</v>
      </c>
      <c r="D764" s="1" t="s">
        <v>570</v>
      </c>
    </row>
    <row r="765" spans="1:4" x14ac:dyDescent="0.25">
      <c r="A765" s="1" t="s">
        <v>45</v>
      </c>
      <c r="B765">
        <v>31</v>
      </c>
      <c r="C765">
        <v>4</v>
      </c>
      <c r="D765" s="1" t="s">
        <v>570</v>
      </c>
    </row>
    <row r="766" spans="1:4" x14ac:dyDescent="0.25">
      <c r="A766" s="1" t="s">
        <v>66</v>
      </c>
      <c r="B766">
        <v>16</v>
      </c>
      <c r="C766">
        <v>4</v>
      </c>
      <c r="D766" s="1" t="s">
        <v>570</v>
      </c>
    </row>
    <row r="767" spans="1:4" x14ac:dyDescent="0.25">
      <c r="A767" s="1" t="s">
        <v>66</v>
      </c>
      <c r="B767">
        <v>26</v>
      </c>
      <c r="C767">
        <v>4</v>
      </c>
      <c r="D767" s="1" t="s">
        <v>570</v>
      </c>
    </row>
    <row r="768" spans="1:4" x14ac:dyDescent="0.25">
      <c r="A768" s="1" t="s">
        <v>66</v>
      </c>
      <c r="B768">
        <v>29</v>
      </c>
      <c r="C768">
        <v>4</v>
      </c>
      <c r="D768" s="1" t="s">
        <v>570</v>
      </c>
    </row>
    <row r="769" spans="1:4" x14ac:dyDescent="0.25">
      <c r="A769" s="1" t="s">
        <v>22</v>
      </c>
      <c r="B769">
        <v>11</v>
      </c>
      <c r="C769">
        <v>4</v>
      </c>
      <c r="D769" s="1" t="s">
        <v>570</v>
      </c>
    </row>
    <row r="770" spans="1:4" x14ac:dyDescent="0.25">
      <c r="A770" s="1" t="s">
        <v>22</v>
      </c>
      <c r="B770">
        <v>15</v>
      </c>
      <c r="C770">
        <v>4</v>
      </c>
      <c r="D770" s="1" t="s">
        <v>570</v>
      </c>
    </row>
    <row r="771" spans="1:4" x14ac:dyDescent="0.25">
      <c r="A771" s="1" t="s">
        <v>22</v>
      </c>
      <c r="B771">
        <v>36</v>
      </c>
      <c r="C771">
        <v>4</v>
      </c>
      <c r="D771" s="1" t="s">
        <v>570</v>
      </c>
    </row>
    <row r="772" spans="1:4" x14ac:dyDescent="0.25">
      <c r="A772" s="1" t="s">
        <v>117</v>
      </c>
      <c r="B772">
        <v>14</v>
      </c>
      <c r="C772">
        <v>4</v>
      </c>
      <c r="D772" s="1" t="s">
        <v>570</v>
      </c>
    </row>
    <row r="773" spans="1:4" x14ac:dyDescent="0.25">
      <c r="A773" s="1" t="s">
        <v>117</v>
      </c>
      <c r="B773">
        <v>22</v>
      </c>
      <c r="C773">
        <v>4</v>
      </c>
      <c r="D773" s="1" t="s">
        <v>570</v>
      </c>
    </row>
    <row r="774" spans="1:4" x14ac:dyDescent="0.25">
      <c r="A774" s="1" t="s">
        <v>117</v>
      </c>
      <c r="B774">
        <v>37</v>
      </c>
      <c r="C774">
        <v>4</v>
      </c>
      <c r="D774" s="1" t="s">
        <v>570</v>
      </c>
    </row>
    <row r="775" spans="1:4" x14ac:dyDescent="0.25">
      <c r="A775" s="1" t="s">
        <v>54</v>
      </c>
      <c r="B775">
        <v>6</v>
      </c>
      <c r="C775">
        <v>4</v>
      </c>
      <c r="D775" s="1" t="s">
        <v>570</v>
      </c>
    </row>
    <row r="776" spans="1:4" x14ac:dyDescent="0.25">
      <c r="A776" s="1" t="s">
        <v>54</v>
      </c>
      <c r="B776">
        <v>22</v>
      </c>
      <c r="C776">
        <v>4</v>
      </c>
      <c r="D776" s="1" t="s">
        <v>570</v>
      </c>
    </row>
    <row r="777" spans="1:4" x14ac:dyDescent="0.25">
      <c r="A777" s="1" t="s">
        <v>54</v>
      </c>
      <c r="B777">
        <v>33</v>
      </c>
      <c r="C777">
        <v>4</v>
      </c>
      <c r="D777" s="1" t="s">
        <v>570</v>
      </c>
    </row>
    <row r="778" spans="1:4" x14ac:dyDescent="0.25">
      <c r="A778" s="1" t="s">
        <v>177</v>
      </c>
      <c r="B778">
        <v>9</v>
      </c>
      <c r="C778">
        <v>4</v>
      </c>
      <c r="D778" s="1" t="s">
        <v>570</v>
      </c>
    </row>
    <row r="779" spans="1:4" x14ac:dyDescent="0.25">
      <c r="A779" s="1" t="s">
        <v>177</v>
      </c>
      <c r="B779">
        <v>11</v>
      </c>
      <c r="C779">
        <v>4</v>
      </c>
      <c r="D779" s="1" t="s">
        <v>570</v>
      </c>
    </row>
    <row r="780" spans="1:4" x14ac:dyDescent="0.25">
      <c r="A780" s="1" t="s">
        <v>177</v>
      </c>
      <c r="B780">
        <v>19</v>
      </c>
      <c r="C780">
        <v>4</v>
      </c>
      <c r="D780" s="1" t="s">
        <v>570</v>
      </c>
    </row>
    <row r="781" spans="1:4" x14ac:dyDescent="0.25">
      <c r="A781" s="1" t="s">
        <v>80</v>
      </c>
      <c r="B781">
        <v>12</v>
      </c>
      <c r="C781">
        <v>4</v>
      </c>
      <c r="D781" s="1" t="s">
        <v>570</v>
      </c>
    </row>
    <row r="782" spans="1:4" x14ac:dyDescent="0.25">
      <c r="A782" s="1" t="s">
        <v>80</v>
      </c>
      <c r="B782">
        <v>19</v>
      </c>
      <c r="C782">
        <v>4</v>
      </c>
      <c r="D782" s="1" t="s">
        <v>570</v>
      </c>
    </row>
    <row r="783" spans="1:4" x14ac:dyDescent="0.25">
      <c r="A783" s="1" t="s">
        <v>80</v>
      </c>
      <c r="B783">
        <v>20</v>
      </c>
      <c r="C783">
        <v>4</v>
      </c>
      <c r="D783" s="1" t="s">
        <v>570</v>
      </c>
    </row>
    <row r="784" spans="1:4" x14ac:dyDescent="0.25">
      <c r="A784" s="1" t="s">
        <v>80</v>
      </c>
      <c r="B784">
        <v>31</v>
      </c>
      <c r="C784">
        <v>4</v>
      </c>
      <c r="D784" s="1" t="s">
        <v>570</v>
      </c>
    </row>
    <row r="785" spans="1:4" x14ac:dyDescent="0.25">
      <c r="A785" s="1" t="s">
        <v>170</v>
      </c>
      <c r="B785">
        <v>17</v>
      </c>
      <c r="C785">
        <v>4</v>
      </c>
      <c r="D785" s="1" t="s">
        <v>570</v>
      </c>
    </row>
    <row r="786" spans="1:4" x14ac:dyDescent="0.25">
      <c r="A786" s="1" t="s">
        <v>170</v>
      </c>
      <c r="B786">
        <v>23</v>
      </c>
      <c r="C786">
        <v>4</v>
      </c>
      <c r="D786" s="1" t="s">
        <v>570</v>
      </c>
    </row>
    <row r="787" spans="1:4" x14ac:dyDescent="0.25">
      <c r="A787" s="1" t="s">
        <v>170</v>
      </c>
      <c r="B787">
        <v>34</v>
      </c>
      <c r="C787">
        <v>4</v>
      </c>
      <c r="D787" s="1" t="s">
        <v>570</v>
      </c>
    </row>
    <row r="788" spans="1:4" x14ac:dyDescent="0.25">
      <c r="A788" s="1" t="s">
        <v>165</v>
      </c>
      <c r="B788">
        <v>13</v>
      </c>
      <c r="C788">
        <v>4</v>
      </c>
      <c r="D788" s="1" t="s">
        <v>570</v>
      </c>
    </row>
    <row r="789" spans="1:4" x14ac:dyDescent="0.25">
      <c r="A789" s="1" t="s">
        <v>165</v>
      </c>
      <c r="B789">
        <v>18</v>
      </c>
      <c r="C789">
        <v>4</v>
      </c>
      <c r="D789" s="1" t="s">
        <v>570</v>
      </c>
    </row>
    <row r="790" spans="1:4" x14ac:dyDescent="0.25">
      <c r="A790" s="1" t="s">
        <v>165</v>
      </c>
      <c r="B790">
        <v>21</v>
      </c>
      <c r="C790">
        <v>4</v>
      </c>
      <c r="D790" s="1" t="s">
        <v>570</v>
      </c>
    </row>
    <row r="791" spans="1:4" x14ac:dyDescent="0.25">
      <c r="A791" s="1" t="s">
        <v>165</v>
      </c>
      <c r="B791">
        <v>35</v>
      </c>
      <c r="C791">
        <v>4</v>
      </c>
      <c r="D791" s="1" t="s">
        <v>570</v>
      </c>
    </row>
    <row r="792" spans="1:4" x14ac:dyDescent="0.25">
      <c r="A792" s="1" t="s">
        <v>122</v>
      </c>
      <c r="B792">
        <v>6</v>
      </c>
      <c r="C792">
        <v>4</v>
      </c>
      <c r="D792" s="1" t="s">
        <v>570</v>
      </c>
    </row>
    <row r="793" spans="1:4" x14ac:dyDescent="0.25">
      <c r="A793" s="1" t="s">
        <v>122</v>
      </c>
      <c r="B793">
        <v>8</v>
      </c>
      <c r="C793">
        <v>4</v>
      </c>
      <c r="D793" s="1" t="s">
        <v>570</v>
      </c>
    </row>
    <row r="794" spans="1:4" x14ac:dyDescent="0.25">
      <c r="A794" s="1" t="s">
        <v>122</v>
      </c>
      <c r="B794">
        <v>16</v>
      </c>
      <c r="C794">
        <v>4</v>
      </c>
      <c r="D794" s="1" t="s">
        <v>570</v>
      </c>
    </row>
    <row r="795" spans="1:4" x14ac:dyDescent="0.25">
      <c r="A795" s="1" t="s">
        <v>122</v>
      </c>
      <c r="B795">
        <v>26</v>
      </c>
      <c r="C795">
        <v>4</v>
      </c>
      <c r="D795" s="1" t="s">
        <v>570</v>
      </c>
    </row>
    <row r="796" spans="1:4" x14ac:dyDescent="0.25">
      <c r="A796" s="1" t="s">
        <v>96</v>
      </c>
      <c r="B796">
        <v>31</v>
      </c>
      <c r="C796">
        <v>4</v>
      </c>
      <c r="D796" s="1" t="s">
        <v>571</v>
      </c>
    </row>
    <row r="797" spans="1:4" x14ac:dyDescent="0.25">
      <c r="A797" s="1" t="s">
        <v>96</v>
      </c>
      <c r="B797">
        <v>33</v>
      </c>
      <c r="C797">
        <v>4</v>
      </c>
      <c r="D797" s="1" t="s">
        <v>571</v>
      </c>
    </row>
    <row r="798" spans="1:4" x14ac:dyDescent="0.25">
      <c r="A798" s="1" t="s">
        <v>96</v>
      </c>
      <c r="B798">
        <v>35</v>
      </c>
      <c r="C798">
        <v>4</v>
      </c>
      <c r="D798" s="1" t="s">
        <v>571</v>
      </c>
    </row>
    <row r="799" spans="1:4" x14ac:dyDescent="0.25">
      <c r="A799" s="1" t="s">
        <v>96</v>
      </c>
      <c r="B799">
        <v>37</v>
      </c>
      <c r="C799">
        <v>4</v>
      </c>
      <c r="D799" s="1" t="s">
        <v>571</v>
      </c>
    </row>
    <row r="800" spans="1:4" x14ac:dyDescent="0.25">
      <c r="A800" s="1" t="s">
        <v>104</v>
      </c>
      <c r="B800">
        <v>12</v>
      </c>
      <c r="C800">
        <v>4</v>
      </c>
      <c r="D800" s="1" t="s">
        <v>571</v>
      </c>
    </row>
    <row r="801" spans="1:4" x14ac:dyDescent="0.25">
      <c r="A801" s="1" t="s">
        <v>104</v>
      </c>
      <c r="B801">
        <v>16</v>
      </c>
      <c r="C801">
        <v>4</v>
      </c>
      <c r="D801" s="1" t="s">
        <v>571</v>
      </c>
    </row>
    <row r="802" spans="1:4" x14ac:dyDescent="0.25">
      <c r="A802" s="1" t="s">
        <v>104</v>
      </c>
      <c r="B802">
        <v>24</v>
      </c>
      <c r="C802">
        <v>4</v>
      </c>
      <c r="D802" s="1" t="s">
        <v>571</v>
      </c>
    </row>
    <row r="803" spans="1:4" x14ac:dyDescent="0.25">
      <c r="A803" s="1" t="s">
        <v>215</v>
      </c>
      <c r="B803">
        <v>8</v>
      </c>
      <c r="C803">
        <v>4</v>
      </c>
      <c r="D803" s="1" t="s">
        <v>571</v>
      </c>
    </row>
    <row r="804" spans="1:4" x14ac:dyDescent="0.25">
      <c r="A804" s="1" t="s">
        <v>215</v>
      </c>
      <c r="B804">
        <v>18</v>
      </c>
      <c r="C804">
        <v>4</v>
      </c>
      <c r="D804" s="1" t="s">
        <v>571</v>
      </c>
    </row>
    <row r="805" spans="1:4" x14ac:dyDescent="0.25">
      <c r="A805" s="1" t="s">
        <v>215</v>
      </c>
      <c r="B805">
        <v>21</v>
      </c>
      <c r="C805">
        <v>4</v>
      </c>
      <c r="D805" s="1" t="s">
        <v>571</v>
      </c>
    </row>
    <row r="806" spans="1:4" x14ac:dyDescent="0.25">
      <c r="A806" s="1" t="s">
        <v>215</v>
      </c>
      <c r="B806">
        <v>27</v>
      </c>
      <c r="C806">
        <v>4</v>
      </c>
      <c r="D806" s="1" t="s">
        <v>571</v>
      </c>
    </row>
    <row r="807" spans="1:4" x14ac:dyDescent="0.25">
      <c r="A807" s="1" t="s">
        <v>63</v>
      </c>
      <c r="B807">
        <v>7</v>
      </c>
      <c r="C807">
        <v>4</v>
      </c>
      <c r="D807" s="1" t="s">
        <v>571</v>
      </c>
    </row>
    <row r="808" spans="1:4" x14ac:dyDescent="0.25">
      <c r="A808" s="1" t="s">
        <v>63</v>
      </c>
      <c r="B808">
        <v>13</v>
      </c>
      <c r="C808">
        <v>4</v>
      </c>
      <c r="D808" s="1" t="s">
        <v>571</v>
      </c>
    </row>
    <row r="809" spans="1:4" x14ac:dyDescent="0.25">
      <c r="A809" s="1" t="s">
        <v>63</v>
      </c>
      <c r="B809">
        <v>14</v>
      </c>
      <c r="C809">
        <v>4</v>
      </c>
      <c r="D809" s="1" t="s">
        <v>571</v>
      </c>
    </row>
    <row r="810" spans="1:4" x14ac:dyDescent="0.25">
      <c r="A810" s="1" t="s">
        <v>63</v>
      </c>
      <c r="B810">
        <v>23</v>
      </c>
      <c r="C810">
        <v>4</v>
      </c>
      <c r="D810" s="1" t="s">
        <v>571</v>
      </c>
    </row>
    <row r="811" spans="1:4" x14ac:dyDescent="0.25">
      <c r="A811" s="1" t="s">
        <v>34</v>
      </c>
      <c r="B811">
        <v>19</v>
      </c>
      <c r="C811">
        <v>4</v>
      </c>
      <c r="D811" s="1" t="s">
        <v>571</v>
      </c>
    </row>
    <row r="812" spans="1:4" x14ac:dyDescent="0.25">
      <c r="A812" s="1" t="s">
        <v>34</v>
      </c>
      <c r="B812">
        <v>22</v>
      </c>
      <c r="C812">
        <v>4</v>
      </c>
      <c r="D812" s="1" t="s">
        <v>571</v>
      </c>
    </row>
    <row r="813" spans="1:4" x14ac:dyDescent="0.25">
      <c r="A813" s="1" t="s">
        <v>34</v>
      </c>
      <c r="B813">
        <v>32</v>
      </c>
      <c r="C813">
        <v>4</v>
      </c>
      <c r="D813" s="1" t="s">
        <v>571</v>
      </c>
    </row>
    <row r="814" spans="1:4" x14ac:dyDescent="0.25">
      <c r="A814" s="1" t="s">
        <v>34</v>
      </c>
      <c r="B814">
        <v>37</v>
      </c>
      <c r="C814">
        <v>4</v>
      </c>
      <c r="D814" s="1" t="s">
        <v>571</v>
      </c>
    </row>
    <row r="815" spans="1:4" x14ac:dyDescent="0.25">
      <c r="A815" s="1" t="s">
        <v>158</v>
      </c>
      <c r="B815">
        <v>9</v>
      </c>
      <c r="C815">
        <v>4</v>
      </c>
      <c r="D815" s="1" t="s">
        <v>571</v>
      </c>
    </row>
    <row r="816" spans="1:4" x14ac:dyDescent="0.25">
      <c r="A816" s="1" t="s">
        <v>158</v>
      </c>
      <c r="B816">
        <v>14</v>
      </c>
      <c r="C816">
        <v>4</v>
      </c>
      <c r="D816" s="1" t="s">
        <v>571</v>
      </c>
    </row>
    <row r="817" spans="1:4" x14ac:dyDescent="0.25">
      <c r="A817" s="1" t="s">
        <v>158</v>
      </c>
      <c r="B817">
        <v>29</v>
      </c>
      <c r="C817">
        <v>4</v>
      </c>
      <c r="D817" s="1" t="s">
        <v>571</v>
      </c>
    </row>
    <row r="818" spans="1:4" x14ac:dyDescent="0.25">
      <c r="A818" s="1" t="s">
        <v>158</v>
      </c>
      <c r="B818">
        <v>33</v>
      </c>
      <c r="C818">
        <v>4</v>
      </c>
      <c r="D818" s="1" t="s">
        <v>571</v>
      </c>
    </row>
    <row r="819" spans="1:4" x14ac:dyDescent="0.25">
      <c r="A819" s="1" t="s">
        <v>75</v>
      </c>
      <c r="B819">
        <v>17</v>
      </c>
      <c r="C819">
        <v>4</v>
      </c>
      <c r="D819" s="1" t="s">
        <v>571</v>
      </c>
    </row>
    <row r="820" spans="1:4" x14ac:dyDescent="0.25">
      <c r="A820" s="1" t="s">
        <v>75</v>
      </c>
      <c r="B820">
        <v>25</v>
      </c>
      <c r="C820">
        <v>4</v>
      </c>
      <c r="D820" s="1" t="s">
        <v>571</v>
      </c>
    </row>
    <row r="821" spans="1:4" x14ac:dyDescent="0.25">
      <c r="A821" s="1" t="s">
        <v>75</v>
      </c>
      <c r="B821">
        <v>29</v>
      </c>
      <c r="C821">
        <v>4</v>
      </c>
      <c r="D821" s="1" t="s">
        <v>571</v>
      </c>
    </row>
    <row r="822" spans="1:4" x14ac:dyDescent="0.25">
      <c r="A822" s="1" t="s">
        <v>75</v>
      </c>
      <c r="B822">
        <v>31</v>
      </c>
      <c r="C822">
        <v>4</v>
      </c>
      <c r="D822" s="1" t="s">
        <v>571</v>
      </c>
    </row>
    <row r="823" spans="1:4" x14ac:dyDescent="0.25">
      <c r="A823" s="1" t="s">
        <v>75</v>
      </c>
      <c r="B823">
        <v>34</v>
      </c>
      <c r="C823">
        <v>4</v>
      </c>
      <c r="D823" s="1" t="s">
        <v>571</v>
      </c>
    </row>
    <row r="824" spans="1:4" x14ac:dyDescent="0.25">
      <c r="A824" s="1" t="s">
        <v>91</v>
      </c>
      <c r="B824">
        <v>10</v>
      </c>
      <c r="C824">
        <v>4</v>
      </c>
      <c r="D824" s="1" t="s">
        <v>571</v>
      </c>
    </row>
    <row r="825" spans="1:4" x14ac:dyDescent="0.25">
      <c r="A825" s="1" t="s">
        <v>91</v>
      </c>
      <c r="B825">
        <v>15</v>
      </c>
      <c r="C825">
        <v>4</v>
      </c>
      <c r="D825" s="1" t="s">
        <v>571</v>
      </c>
    </row>
    <row r="826" spans="1:4" x14ac:dyDescent="0.25">
      <c r="A826" s="1" t="s">
        <v>91</v>
      </c>
      <c r="B826">
        <v>17</v>
      </c>
      <c r="C826">
        <v>4</v>
      </c>
      <c r="D826" s="1" t="s">
        <v>571</v>
      </c>
    </row>
    <row r="827" spans="1:4" x14ac:dyDescent="0.25">
      <c r="A827" s="1" t="s">
        <v>91</v>
      </c>
      <c r="B827">
        <v>20</v>
      </c>
      <c r="C827">
        <v>4</v>
      </c>
      <c r="D827" s="1" t="s">
        <v>571</v>
      </c>
    </row>
    <row r="828" spans="1:4" x14ac:dyDescent="0.25">
      <c r="A828" s="1" t="s">
        <v>50</v>
      </c>
      <c r="B828">
        <v>7</v>
      </c>
      <c r="C828">
        <v>4</v>
      </c>
      <c r="D828" s="1" t="s">
        <v>571</v>
      </c>
    </row>
    <row r="829" spans="1:4" x14ac:dyDescent="0.25">
      <c r="A829" s="1" t="s">
        <v>50</v>
      </c>
      <c r="B829">
        <v>12</v>
      </c>
      <c r="C829">
        <v>4</v>
      </c>
      <c r="D829" s="1" t="s">
        <v>571</v>
      </c>
    </row>
    <row r="830" spans="1:4" x14ac:dyDescent="0.25">
      <c r="A830" s="1" t="s">
        <v>50</v>
      </c>
      <c r="B830">
        <v>18</v>
      </c>
      <c r="C830">
        <v>4</v>
      </c>
      <c r="D830" s="1" t="s">
        <v>571</v>
      </c>
    </row>
    <row r="831" spans="1:4" x14ac:dyDescent="0.25">
      <c r="A831" s="1" t="s">
        <v>50</v>
      </c>
      <c r="B831">
        <v>37</v>
      </c>
      <c r="C831">
        <v>4</v>
      </c>
      <c r="D831" s="1" t="s">
        <v>571</v>
      </c>
    </row>
    <row r="832" spans="1:4" x14ac:dyDescent="0.25">
      <c r="A832" s="1" t="s">
        <v>149</v>
      </c>
      <c r="B832">
        <v>18</v>
      </c>
      <c r="C832">
        <v>4</v>
      </c>
      <c r="D832" s="1" t="s">
        <v>571</v>
      </c>
    </row>
    <row r="833" spans="1:4" x14ac:dyDescent="0.25">
      <c r="A833" s="1" t="s">
        <v>149</v>
      </c>
      <c r="B833">
        <v>24</v>
      </c>
      <c r="C833">
        <v>4</v>
      </c>
      <c r="D833" s="1" t="s">
        <v>571</v>
      </c>
    </row>
    <row r="834" spans="1:4" x14ac:dyDescent="0.25">
      <c r="A834" s="1" t="s">
        <v>149</v>
      </c>
      <c r="B834">
        <v>30</v>
      </c>
      <c r="C834">
        <v>4</v>
      </c>
      <c r="D834" s="1" t="s">
        <v>571</v>
      </c>
    </row>
    <row r="835" spans="1:4" x14ac:dyDescent="0.25">
      <c r="A835" s="1" t="s">
        <v>45</v>
      </c>
      <c r="B835">
        <v>17</v>
      </c>
      <c r="C835">
        <v>4</v>
      </c>
      <c r="D835" s="1" t="s">
        <v>571</v>
      </c>
    </row>
    <row r="836" spans="1:4" x14ac:dyDescent="0.25">
      <c r="A836" s="1" t="s">
        <v>45</v>
      </c>
      <c r="B836">
        <v>21</v>
      </c>
      <c r="C836">
        <v>4</v>
      </c>
      <c r="D836" s="1" t="s">
        <v>571</v>
      </c>
    </row>
    <row r="837" spans="1:4" x14ac:dyDescent="0.25">
      <c r="A837" s="1" t="s">
        <v>45</v>
      </c>
      <c r="B837">
        <v>27</v>
      </c>
      <c r="C837">
        <v>4</v>
      </c>
      <c r="D837" s="1" t="s">
        <v>571</v>
      </c>
    </row>
    <row r="838" spans="1:4" x14ac:dyDescent="0.25">
      <c r="A838" s="1" t="s">
        <v>45</v>
      </c>
      <c r="B838">
        <v>30</v>
      </c>
      <c r="C838">
        <v>4</v>
      </c>
      <c r="D838" s="1" t="s">
        <v>571</v>
      </c>
    </row>
    <row r="839" spans="1:4" x14ac:dyDescent="0.25">
      <c r="A839" s="1" t="s">
        <v>66</v>
      </c>
      <c r="B839">
        <v>18</v>
      </c>
      <c r="C839">
        <v>4</v>
      </c>
      <c r="D839" s="1" t="s">
        <v>571</v>
      </c>
    </row>
    <row r="840" spans="1:4" x14ac:dyDescent="0.25">
      <c r="A840" s="1" t="s">
        <v>66</v>
      </c>
      <c r="B840">
        <v>25</v>
      </c>
      <c r="C840">
        <v>4</v>
      </c>
      <c r="D840" s="1" t="s">
        <v>571</v>
      </c>
    </row>
    <row r="841" spans="1:4" x14ac:dyDescent="0.25">
      <c r="A841" s="1" t="s">
        <v>66</v>
      </c>
      <c r="B841">
        <v>32</v>
      </c>
      <c r="C841">
        <v>4</v>
      </c>
      <c r="D841" s="1" t="s">
        <v>571</v>
      </c>
    </row>
    <row r="842" spans="1:4" x14ac:dyDescent="0.25">
      <c r="A842" s="1" t="s">
        <v>66</v>
      </c>
      <c r="B842">
        <v>36</v>
      </c>
      <c r="C842">
        <v>4</v>
      </c>
      <c r="D842" s="1" t="s">
        <v>571</v>
      </c>
    </row>
    <row r="843" spans="1:4" x14ac:dyDescent="0.25">
      <c r="A843" s="1" t="s">
        <v>22</v>
      </c>
      <c r="B843">
        <v>7</v>
      </c>
      <c r="C843">
        <v>4</v>
      </c>
      <c r="D843" s="1" t="s">
        <v>571</v>
      </c>
    </row>
    <row r="844" spans="1:4" x14ac:dyDescent="0.25">
      <c r="A844" s="1" t="s">
        <v>22</v>
      </c>
      <c r="B844">
        <v>20</v>
      </c>
      <c r="C844">
        <v>4</v>
      </c>
      <c r="D844" s="1" t="s">
        <v>571</v>
      </c>
    </row>
    <row r="845" spans="1:4" x14ac:dyDescent="0.25">
      <c r="A845" s="1" t="s">
        <v>22</v>
      </c>
      <c r="B845">
        <v>22</v>
      </c>
      <c r="C845">
        <v>4</v>
      </c>
      <c r="D845" s="1" t="s">
        <v>571</v>
      </c>
    </row>
    <row r="846" spans="1:4" x14ac:dyDescent="0.25">
      <c r="A846" s="1" t="s">
        <v>22</v>
      </c>
      <c r="B846">
        <v>33</v>
      </c>
      <c r="C846">
        <v>4</v>
      </c>
      <c r="D846" s="1" t="s">
        <v>571</v>
      </c>
    </row>
    <row r="847" spans="1:4" x14ac:dyDescent="0.25">
      <c r="A847" s="1" t="s">
        <v>22</v>
      </c>
      <c r="B847">
        <v>35</v>
      </c>
      <c r="C847">
        <v>4</v>
      </c>
      <c r="D847" s="1" t="s">
        <v>571</v>
      </c>
    </row>
    <row r="848" spans="1:4" x14ac:dyDescent="0.25">
      <c r="A848" s="1" t="s">
        <v>117</v>
      </c>
      <c r="B848">
        <v>6</v>
      </c>
      <c r="C848">
        <v>4</v>
      </c>
      <c r="D848" s="1" t="s">
        <v>571</v>
      </c>
    </row>
    <row r="849" spans="1:4" x14ac:dyDescent="0.25">
      <c r="A849" s="1" t="s">
        <v>117</v>
      </c>
      <c r="B849">
        <v>9</v>
      </c>
      <c r="C849">
        <v>4</v>
      </c>
      <c r="D849" s="1" t="s">
        <v>571</v>
      </c>
    </row>
    <row r="850" spans="1:4" x14ac:dyDescent="0.25">
      <c r="A850" s="1" t="s">
        <v>117</v>
      </c>
      <c r="B850">
        <v>11</v>
      </c>
      <c r="C850">
        <v>4</v>
      </c>
      <c r="D850" s="1" t="s">
        <v>571</v>
      </c>
    </row>
    <row r="851" spans="1:4" x14ac:dyDescent="0.25">
      <c r="A851" s="1" t="s">
        <v>117</v>
      </c>
      <c r="B851">
        <v>34</v>
      </c>
      <c r="C851">
        <v>4</v>
      </c>
      <c r="D851" s="1" t="s">
        <v>571</v>
      </c>
    </row>
    <row r="852" spans="1:4" x14ac:dyDescent="0.25">
      <c r="A852" s="1" t="s">
        <v>54</v>
      </c>
      <c r="B852">
        <v>15</v>
      </c>
      <c r="C852">
        <v>4</v>
      </c>
      <c r="D852" s="1" t="s">
        <v>571</v>
      </c>
    </row>
    <row r="853" spans="1:4" x14ac:dyDescent="0.25">
      <c r="A853" s="1" t="s">
        <v>54</v>
      </c>
      <c r="B853">
        <v>23</v>
      </c>
      <c r="C853">
        <v>4</v>
      </c>
      <c r="D853" s="1" t="s">
        <v>571</v>
      </c>
    </row>
    <row r="854" spans="1:4" x14ac:dyDescent="0.25">
      <c r="A854" s="1" t="s">
        <v>54</v>
      </c>
      <c r="B854">
        <v>30</v>
      </c>
      <c r="C854">
        <v>4</v>
      </c>
      <c r="D854" s="1" t="s">
        <v>571</v>
      </c>
    </row>
    <row r="855" spans="1:4" x14ac:dyDescent="0.25">
      <c r="A855" s="1" t="s">
        <v>54</v>
      </c>
      <c r="B855">
        <v>35</v>
      </c>
      <c r="C855">
        <v>4</v>
      </c>
      <c r="D855" s="1" t="s">
        <v>571</v>
      </c>
    </row>
    <row r="856" spans="1:4" x14ac:dyDescent="0.25">
      <c r="A856" s="1" t="s">
        <v>177</v>
      </c>
      <c r="B856">
        <v>22</v>
      </c>
      <c r="C856">
        <v>4</v>
      </c>
      <c r="D856" s="1" t="s">
        <v>571</v>
      </c>
    </row>
    <row r="857" spans="1:4" x14ac:dyDescent="0.25">
      <c r="A857" s="1" t="s">
        <v>177</v>
      </c>
      <c r="B857">
        <v>24</v>
      </c>
      <c r="C857">
        <v>4</v>
      </c>
      <c r="D857" s="1" t="s">
        <v>571</v>
      </c>
    </row>
    <row r="858" spans="1:4" x14ac:dyDescent="0.25">
      <c r="A858" s="1" t="s">
        <v>177</v>
      </c>
      <c r="B858">
        <v>27</v>
      </c>
      <c r="C858">
        <v>4</v>
      </c>
      <c r="D858" s="1" t="s">
        <v>571</v>
      </c>
    </row>
    <row r="859" spans="1:4" x14ac:dyDescent="0.25">
      <c r="A859" s="1" t="s">
        <v>80</v>
      </c>
      <c r="B859">
        <v>11</v>
      </c>
      <c r="C859">
        <v>4</v>
      </c>
      <c r="D859" s="1" t="s">
        <v>571</v>
      </c>
    </row>
    <row r="860" spans="1:4" x14ac:dyDescent="0.25">
      <c r="A860" s="1" t="s">
        <v>80</v>
      </c>
      <c r="B860">
        <v>13</v>
      </c>
      <c r="C860">
        <v>4</v>
      </c>
      <c r="D860" s="1" t="s">
        <v>571</v>
      </c>
    </row>
    <row r="861" spans="1:4" x14ac:dyDescent="0.25">
      <c r="A861" s="1" t="s">
        <v>80</v>
      </c>
      <c r="B861">
        <v>17</v>
      </c>
      <c r="C861">
        <v>4</v>
      </c>
      <c r="D861" s="1" t="s">
        <v>571</v>
      </c>
    </row>
    <row r="862" spans="1:4" x14ac:dyDescent="0.25">
      <c r="A862" s="1" t="s">
        <v>80</v>
      </c>
      <c r="B862">
        <v>25</v>
      </c>
      <c r="C862">
        <v>4</v>
      </c>
      <c r="D862" s="1" t="s">
        <v>571</v>
      </c>
    </row>
    <row r="863" spans="1:4" x14ac:dyDescent="0.25">
      <c r="A863" s="1" t="s">
        <v>170</v>
      </c>
      <c r="B863">
        <v>7</v>
      </c>
      <c r="C863">
        <v>4</v>
      </c>
      <c r="D863" s="1" t="s">
        <v>571</v>
      </c>
    </row>
    <row r="864" spans="1:4" x14ac:dyDescent="0.25">
      <c r="A864" s="1" t="s">
        <v>170</v>
      </c>
      <c r="B864">
        <v>10</v>
      </c>
      <c r="C864">
        <v>4</v>
      </c>
      <c r="D864" s="1" t="s">
        <v>571</v>
      </c>
    </row>
    <row r="865" spans="1:4" x14ac:dyDescent="0.25">
      <c r="A865" s="1" t="s">
        <v>170</v>
      </c>
      <c r="B865">
        <v>12</v>
      </c>
      <c r="C865">
        <v>4</v>
      </c>
      <c r="D865" s="1" t="s">
        <v>571</v>
      </c>
    </row>
    <row r="866" spans="1:4" x14ac:dyDescent="0.25">
      <c r="A866" s="1" t="s">
        <v>170</v>
      </c>
      <c r="B866">
        <v>26</v>
      </c>
      <c r="C866">
        <v>4</v>
      </c>
      <c r="D866" s="1" t="s">
        <v>571</v>
      </c>
    </row>
    <row r="867" spans="1:4" x14ac:dyDescent="0.25">
      <c r="A867" s="1" t="s">
        <v>170</v>
      </c>
      <c r="B867">
        <v>32</v>
      </c>
      <c r="C867">
        <v>4</v>
      </c>
      <c r="D867" s="1" t="s">
        <v>571</v>
      </c>
    </row>
    <row r="868" spans="1:4" x14ac:dyDescent="0.25">
      <c r="A868" s="1" t="s">
        <v>165</v>
      </c>
      <c r="B868">
        <v>10</v>
      </c>
      <c r="C868">
        <v>4</v>
      </c>
      <c r="D868" s="1" t="s">
        <v>571</v>
      </c>
    </row>
    <row r="869" spans="1:4" x14ac:dyDescent="0.25">
      <c r="A869" s="1" t="s">
        <v>165</v>
      </c>
      <c r="B869">
        <v>20</v>
      </c>
      <c r="C869">
        <v>4</v>
      </c>
      <c r="D869" s="1" t="s">
        <v>571</v>
      </c>
    </row>
    <row r="870" spans="1:4" x14ac:dyDescent="0.25">
      <c r="A870" s="1" t="s">
        <v>165</v>
      </c>
      <c r="B870">
        <v>28</v>
      </c>
      <c r="C870">
        <v>4</v>
      </c>
      <c r="D870" s="1" t="s">
        <v>571</v>
      </c>
    </row>
    <row r="871" spans="1:4" x14ac:dyDescent="0.25">
      <c r="A871" s="1" t="s">
        <v>165</v>
      </c>
      <c r="B871">
        <v>38</v>
      </c>
      <c r="C871">
        <v>4</v>
      </c>
      <c r="D871" s="1" t="s">
        <v>571</v>
      </c>
    </row>
    <row r="872" spans="1:4" x14ac:dyDescent="0.25">
      <c r="A872" s="1" t="s">
        <v>122</v>
      </c>
      <c r="B872">
        <v>14</v>
      </c>
      <c r="C872">
        <v>4</v>
      </c>
      <c r="D872" s="1" t="s">
        <v>571</v>
      </c>
    </row>
    <row r="873" spans="1:4" x14ac:dyDescent="0.25">
      <c r="A873" s="1" t="s">
        <v>122</v>
      </c>
      <c r="B873">
        <v>25</v>
      </c>
      <c r="C873">
        <v>4</v>
      </c>
      <c r="D873" s="1" t="s">
        <v>571</v>
      </c>
    </row>
    <row r="874" spans="1:4" x14ac:dyDescent="0.25">
      <c r="A874" s="1" t="s">
        <v>122</v>
      </c>
      <c r="B874">
        <v>27</v>
      </c>
      <c r="C874">
        <v>4</v>
      </c>
      <c r="D874" s="1" t="s">
        <v>571</v>
      </c>
    </row>
    <row r="875" spans="1:4" x14ac:dyDescent="0.25">
      <c r="A875" s="1" t="s">
        <v>122</v>
      </c>
      <c r="B875">
        <v>35</v>
      </c>
      <c r="C875">
        <v>4</v>
      </c>
      <c r="D875" s="1" t="s">
        <v>571</v>
      </c>
    </row>
    <row r="876" spans="1:4" x14ac:dyDescent="0.25">
      <c r="A876" s="1" t="s">
        <v>122</v>
      </c>
      <c r="B876">
        <v>37</v>
      </c>
      <c r="C876">
        <v>4</v>
      </c>
      <c r="D876" s="1" t="s">
        <v>571</v>
      </c>
    </row>
    <row r="877" spans="1:4" x14ac:dyDescent="0.25">
      <c r="A877" s="1" t="s">
        <v>96</v>
      </c>
      <c r="B877">
        <v>15</v>
      </c>
      <c r="C877">
        <v>5</v>
      </c>
      <c r="D877" s="1" t="s">
        <v>570</v>
      </c>
    </row>
    <row r="878" spans="1:4" x14ac:dyDescent="0.25">
      <c r="A878" s="1" t="s">
        <v>104</v>
      </c>
      <c r="B878">
        <v>23</v>
      </c>
      <c r="C878">
        <v>5</v>
      </c>
      <c r="D878" s="1" t="s">
        <v>570</v>
      </c>
    </row>
    <row r="879" spans="1:4" x14ac:dyDescent="0.25">
      <c r="A879" s="1" t="s">
        <v>215</v>
      </c>
      <c r="B879">
        <v>32</v>
      </c>
      <c r="C879">
        <v>5</v>
      </c>
      <c r="D879" s="1" t="s">
        <v>570</v>
      </c>
    </row>
    <row r="880" spans="1:4" x14ac:dyDescent="0.25">
      <c r="A880" s="1" t="s">
        <v>215</v>
      </c>
      <c r="B880">
        <v>37</v>
      </c>
      <c r="C880">
        <v>5</v>
      </c>
      <c r="D880" s="1" t="s">
        <v>570</v>
      </c>
    </row>
    <row r="881" spans="1:4" x14ac:dyDescent="0.25">
      <c r="A881" s="1" t="s">
        <v>63</v>
      </c>
      <c r="B881">
        <v>20</v>
      </c>
      <c r="C881">
        <v>5</v>
      </c>
      <c r="D881" s="1" t="s">
        <v>570</v>
      </c>
    </row>
    <row r="882" spans="1:4" x14ac:dyDescent="0.25">
      <c r="A882" s="1" t="s">
        <v>63</v>
      </c>
      <c r="B882">
        <v>34</v>
      </c>
      <c r="C882">
        <v>5</v>
      </c>
      <c r="D882" s="1" t="s">
        <v>570</v>
      </c>
    </row>
    <row r="883" spans="1:4" x14ac:dyDescent="0.25">
      <c r="A883" s="1" t="s">
        <v>34</v>
      </c>
      <c r="B883">
        <v>9</v>
      </c>
      <c r="C883">
        <v>5</v>
      </c>
      <c r="D883" s="1" t="s">
        <v>570</v>
      </c>
    </row>
    <row r="884" spans="1:4" x14ac:dyDescent="0.25">
      <c r="A884" s="1" t="s">
        <v>34</v>
      </c>
      <c r="B884">
        <v>38</v>
      </c>
      <c r="C884">
        <v>5</v>
      </c>
      <c r="D884" s="1" t="s">
        <v>570</v>
      </c>
    </row>
    <row r="885" spans="1:4" x14ac:dyDescent="0.25">
      <c r="A885" s="1" t="s">
        <v>158</v>
      </c>
      <c r="B885">
        <v>15</v>
      </c>
      <c r="C885">
        <v>5</v>
      </c>
      <c r="D885" s="1" t="s">
        <v>570</v>
      </c>
    </row>
    <row r="886" spans="1:4" x14ac:dyDescent="0.25">
      <c r="A886" s="1" t="s">
        <v>91</v>
      </c>
      <c r="B886">
        <v>28</v>
      </c>
      <c r="C886">
        <v>5</v>
      </c>
      <c r="D886" s="1" t="s">
        <v>570</v>
      </c>
    </row>
    <row r="887" spans="1:4" x14ac:dyDescent="0.25">
      <c r="A887" s="1" t="s">
        <v>91</v>
      </c>
      <c r="B887">
        <v>32</v>
      </c>
      <c r="C887">
        <v>5</v>
      </c>
      <c r="D887" s="1" t="s">
        <v>570</v>
      </c>
    </row>
    <row r="888" spans="1:4" x14ac:dyDescent="0.25">
      <c r="A888" s="1" t="s">
        <v>50</v>
      </c>
      <c r="B888">
        <v>8</v>
      </c>
      <c r="C888">
        <v>5</v>
      </c>
      <c r="D888" s="1" t="s">
        <v>570</v>
      </c>
    </row>
    <row r="889" spans="1:4" x14ac:dyDescent="0.25">
      <c r="A889" s="1" t="s">
        <v>50</v>
      </c>
      <c r="B889">
        <v>28</v>
      </c>
      <c r="C889">
        <v>5</v>
      </c>
      <c r="D889" s="1" t="s">
        <v>570</v>
      </c>
    </row>
    <row r="890" spans="1:4" x14ac:dyDescent="0.25">
      <c r="A890" s="1" t="s">
        <v>149</v>
      </c>
      <c r="B890">
        <v>11</v>
      </c>
      <c r="C890">
        <v>5</v>
      </c>
      <c r="D890" s="1" t="s">
        <v>570</v>
      </c>
    </row>
    <row r="891" spans="1:4" x14ac:dyDescent="0.25">
      <c r="A891" s="1" t="s">
        <v>149</v>
      </c>
      <c r="B891">
        <v>26</v>
      </c>
      <c r="C891">
        <v>5</v>
      </c>
      <c r="D891" s="1" t="s">
        <v>570</v>
      </c>
    </row>
    <row r="892" spans="1:4" x14ac:dyDescent="0.25">
      <c r="A892" s="1" t="s">
        <v>45</v>
      </c>
      <c r="B892">
        <v>10</v>
      </c>
      <c r="C892">
        <v>5</v>
      </c>
      <c r="D892" s="1" t="s">
        <v>570</v>
      </c>
    </row>
    <row r="893" spans="1:4" x14ac:dyDescent="0.25">
      <c r="A893" s="1" t="s">
        <v>45</v>
      </c>
      <c r="B893">
        <v>16</v>
      </c>
      <c r="C893">
        <v>5</v>
      </c>
      <c r="D893" s="1" t="s">
        <v>570</v>
      </c>
    </row>
    <row r="894" spans="1:4" x14ac:dyDescent="0.25">
      <c r="A894" s="1" t="s">
        <v>66</v>
      </c>
      <c r="B894">
        <v>7</v>
      </c>
      <c r="C894">
        <v>5</v>
      </c>
      <c r="D894" s="1" t="s">
        <v>570</v>
      </c>
    </row>
    <row r="895" spans="1:4" x14ac:dyDescent="0.25">
      <c r="A895" s="1" t="s">
        <v>66</v>
      </c>
      <c r="B895">
        <v>19</v>
      </c>
      <c r="C895">
        <v>5</v>
      </c>
      <c r="D895" s="1" t="s">
        <v>570</v>
      </c>
    </row>
    <row r="896" spans="1:4" x14ac:dyDescent="0.25">
      <c r="A896" s="1" t="s">
        <v>22</v>
      </c>
      <c r="B896">
        <v>6</v>
      </c>
      <c r="C896">
        <v>5</v>
      </c>
      <c r="D896" s="1" t="s">
        <v>570</v>
      </c>
    </row>
    <row r="897" spans="1:4" x14ac:dyDescent="0.25">
      <c r="A897" s="1" t="s">
        <v>22</v>
      </c>
      <c r="B897">
        <v>13</v>
      </c>
      <c r="C897">
        <v>5</v>
      </c>
      <c r="D897" s="1" t="s">
        <v>570</v>
      </c>
    </row>
    <row r="898" spans="1:4" x14ac:dyDescent="0.25">
      <c r="A898" s="1" t="s">
        <v>117</v>
      </c>
      <c r="B898">
        <v>24</v>
      </c>
      <c r="C898">
        <v>5</v>
      </c>
      <c r="D898" s="1" t="s">
        <v>570</v>
      </c>
    </row>
    <row r="899" spans="1:4" x14ac:dyDescent="0.25">
      <c r="A899" s="1" t="s">
        <v>117</v>
      </c>
      <c r="B899">
        <v>35</v>
      </c>
      <c r="C899">
        <v>5</v>
      </c>
      <c r="D899" s="1" t="s">
        <v>570</v>
      </c>
    </row>
    <row r="900" spans="1:4" x14ac:dyDescent="0.25">
      <c r="A900" s="1" t="s">
        <v>54</v>
      </c>
      <c r="B900">
        <v>12</v>
      </c>
      <c r="C900">
        <v>5</v>
      </c>
      <c r="D900" s="1" t="s">
        <v>570</v>
      </c>
    </row>
    <row r="901" spans="1:4" x14ac:dyDescent="0.25">
      <c r="A901" s="1" t="s">
        <v>177</v>
      </c>
      <c r="B901">
        <v>16</v>
      </c>
      <c r="C901">
        <v>5</v>
      </c>
      <c r="D901" s="1" t="s">
        <v>570</v>
      </c>
    </row>
    <row r="902" spans="1:4" x14ac:dyDescent="0.25">
      <c r="A902" s="1" t="s">
        <v>177</v>
      </c>
      <c r="B902">
        <v>30</v>
      </c>
      <c r="C902">
        <v>5</v>
      </c>
      <c r="D902" s="1" t="s">
        <v>570</v>
      </c>
    </row>
    <row r="903" spans="1:4" x14ac:dyDescent="0.25">
      <c r="A903" s="1" t="s">
        <v>80</v>
      </c>
      <c r="B903">
        <v>22</v>
      </c>
      <c r="C903">
        <v>5</v>
      </c>
      <c r="D903" s="1" t="s">
        <v>570</v>
      </c>
    </row>
    <row r="904" spans="1:4" x14ac:dyDescent="0.25">
      <c r="A904" s="1" t="s">
        <v>80</v>
      </c>
      <c r="B904">
        <v>26</v>
      </c>
      <c r="C904">
        <v>5</v>
      </c>
      <c r="D904" s="1" t="s">
        <v>570</v>
      </c>
    </row>
    <row r="905" spans="1:4" x14ac:dyDescent="0.25">
      <c r="A905" s="1" t="s">
        <v>170</v>
      </c>
      <c r="B905">
        <v>21</v>
      </c>
      <c r="C905">
        <v>5</v>
      </c>
      <c r="D905" s="1" t="s">
        <v>570</v>
      </c>
    </row>
    <row r="906" spans="1:4" x14ac:dyDescent="0.25">
      <c r="A906" s="1" t="s">
        <v>170</v>
      </c>
      <c r="B906">
        <v>36</v>
      </c>
      <c r="C906">
        <v>5</v>
      </c>
      <c r="D906" s="1" t="s">
        <v>570</v>
      </c>
    </row>
    <row r="907" spans="1:4" x14ac:dyDescent="0.25">
      <c r="A907" s="1" t="s">
        <v>165</v>
      </c>
      <c r="B907">
        <v>30</v>
      </c>
      <c r="C907">
        <v>5</v>
      </c>
      <c r="D907" s="1" t="s">
        <v>570</v>
      </c>
    </row>
    <row r="908" spans="1:4" x14ac:dyDescent="0.25">
      <c r="A908" s="1" t="s">
        <v>122</v>
      </c>
      <c r="B908">
        <v>19</v>
      </c>
      <c r="C908">
        <v>5</v>
      </c>
      <c r="D908" s="1" t="s">
        <v>570</v>
      </c>
    </row>
    <row r="909" spans="1:4" x14ac:dyDescent="0.25">
      <c r="A909" s="1" t="s">
        <v>122</v>
      </c>
      <c r="B909">
        <v>34</v>
      </c>
      <c r="C909">
        <v>5</v>
      </c>
      <c r="D909" s="1" t="s">
        <v>570</v>
      </c>
    </row>
  </sheetData>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A309A-303C-40C3-8FF2-F4FBD0BF4585}">
  <dimension ref="A1:K24"/>
  <sheetViews>
    <sheetView tabSelected="1" workbookViewId="0">
      <selection sqref="A1:D1"/>
    </sheetView>
  </sheetViews>
  <sheetFormatPr defaultRowHeight="15" x14ac:dyDescent="0.25"/>
  <cols>
    <col min="1" max="1" width="13.85546875" bestFit="1" customWidth="1"/>
    <col min="2" max="2" width="6.7109375" bestFit="1" customWidth="1"/>
    <col min="3" max="3" width="6.28515625" bestFit="1" customWidth="1"/>
    <col min="4" max="4" width="29.85546875" customWidth="1"/>
    <col min="5" max="5" width="28.140625" bestFit="1" customWidth="1"/>
    <col min="7" max="7" width="4.7109375" customWidth="1"/>
    <col min="8" max="9" width="9.140625" hidden="1" customWidth="1"/>
    <col min="11" max="11" width="14.42578125" customWidth="1"/>
  </cols>
  <sheetData>
    <row r="1" spans="1:11" x14ac:dyDescent="0.25">
      <c r="A1" s="8" t="str">
        <f>"Data as of " &amp; TEXT(INDEX(Refresh[refreshed_at],1),"dd mmm yyyy hh:mm")
  &amp; " UTC · GW" &amp; INDEX(Refresh[latest_gameweek],1)</f>
        <v>Data as of 27 Sep 2026 12:13 UTC · GW5</v>
      </c>
      <c r="B1" s="8"/>
      <c r="C1" s="8"/>
      <c r="D1" s="8"/>
      <c r="J1" t="str" cm="1">
        <f t="array" ref="J1:K4">_xlfn.LET(
    _xlpm.positions, {"GKP";"DEF";"MID";"FWD"},
    _xlpm.best, _xlfn.BYROW(_xlpm.positions, _xlfn.LAMBDA(_xlpm.p,
        _xlfn.LET(
            _xlpm.rows,  _xlfn._xlws.FILTER(Players[], (Players[position_short]=_xlpm.p) * (Players[minutes]&gt;=270)),
            _xlpm.top,   _xlfn.SORTBY(_xlpm.rows, INDEX(_xlpm.rows,,18), -1),
            INDEX(_xlpm.top, 1, 2)
        ))),
    _xlfn.HSTACK(_xlpm.positions, _xlpm.best)
)</f>
        <v>GKP</v>
      </c>
      <c r="K1" t="str">
        <v>Tzolakis</v>
      </c>
    </row>
    <row r="2" spans="1:11" x14ac:dyDescent="0.25">
      <c r="J2" t="str">
        <v>DEF</v>
      </c>
      <c r="K2" t="str">
        <v>Bogle</v>
      </c>
    </row>
    <row r="3" spans="1:11" x14ac:dyDescent="0.25">
      <c r="J3" t="str">
        <v>MID</v>
      </c>
      <c r="K3" t="str">
        <v>Groß</v>
      </c>
    </row>
    <row r="4" spans="1:11" x14ac:dyDescent="0.25">
      <c r="J4" t="str">
        <v>FWD</v>
      </c>
      <c r="K4" t="str">
        <v>Kostoulas</v>
      </c>
    </row>
    <row r="5" spans="1:11" x14ac:dyDescent="0.25">
      <c r="A5" s="2" t="s">
        <v>7</v>
      </c>
      <c r="B5" t="s">
        <v>564</v>
      </c>
      <c r="C5" t="s">
        <v>563</v>
      </c>
      <c r="D5" t="s">
        <v>562</v>
      </c>
    </row>
    <row r="6" spans="1:11" x14ac:dyDescent="0.25">
      <c r="A6" t="s">
        <v>23</v>
      </c>
      <c r="B6" s="5">
        <v>15.614583333333334</v>
      </c>
      <c r="C6" s="6">
        <v>4.8312499999999998</v>
      </c>
      <c r="D6" s="7">
        <v>3.2302083333333336</v>
      </c>
    </row>
    <row r="7" spans="1:11" x14ac:dyDescent="0.25">
      <c r="A7" t="s">
        <v>107</v>
      </c>
      <c r="B7" s="5">
        <v>18.047619047619047</v>
      </c>
      <c r="C7" s="6">
        <v>6.723809523809523</v>
      </c>
      <c r="D7" s="7">
        <v>2.6923809523809523</v>
      </c>
    </row>
    <row r="8" spans="1:11" x14ac:dyDescent="0.25">
      <c r="A8" t="s">
        <v>46</v>
      </c>
      <c r="B8" s="5">
        <v>17.238095238095237</v>
      </c>
      <c r="C8" s="6">
        <v>4.9333333333333327</v>
      </c>
      <c r="D8" s="7">
        <v>3.4642857142857144</v>
      </c>
    </row>
    <row r="9" spans="1:11" x14ac:dyDescent="0.25">
      <c r="A9" t="s">
        <v>35</v>
      </c>
      <c r="B9" s="5">
        <v>16.561904761904763</v>
      </c>
      <c r="C9" s="6">
        <v>5.8323809523809524</v>
      </c>
      <c r="D9" s="7">
        <v>2.8060952380952378</v>
      </c>
    </row>
    <row r="12" spans="1:11" x14ac:dyDescent="0.25">
      <c r="A12" s="2" t="s">
        <v>7</v>
      </c>
      <c r="B12" t="s" vm="1">
        <v>565</v>
      </c>
    </row>
    <row r="14" spans="1:11" x14ac:dyDescent="0.25">
      <c r="A14" s="2" t="s">
        <v>1</v>
      </c>
      <c r="B14" t="s">
        <v>566</v>
      </c>
      <c r="C14" t="s">
        <v>567</v>
      </c>
      <c r="D14" t="s">
        <v>562</v>
      </c>
    </row>
    <row r="15" spans="1:11" x14ac:dyDescent="0.25">
      <c r="A15" t="s">
        <v>19</v>
      </c>
      <c r="B15" s="1">
        <v>42</v>
      </c>
      <c r="C15" s="6">
        <v>4.5999999999999996</v>
      </c>
      <c r="D15" s="4">
        <v>9.1300000000000008</v>
      </c>
      <c r="H15" t="str">
        <f>IF(A15="","",A15)</f>
        <v>Bogle</v>
      </c>
      <c r="I15" s="4">
        <f>IF(A15="",NA(),D15)</f>
        <v>9.1300000000000008</v>
      </c>
    </row>
    <row r="16" spans="1:11" x14ac:dyDescent="0.25">
      <c r="A16" t="s">
        <v>32</v>
      </c>
      <c r="B16" s="1">
        <v>47</v>
      </c>
      <c r="C16" s="6">
        <v>5.8</v>
      </c>
      <c r="D16" s="4">
        <v>8.1</v>
      </c>
      <c r="G16" s="4"/>
      <c r="H16" t="str">
        <f t="shared" ref="H16:H24" si="0">IF(A16="","",A16)</f>
        <v>Groß</v>
      </c>
      <c r="I16" s="4">
        <f t="shared" ref="I16:I24" si="1">IF(A16="",NA(),D16)</f>
        <v>8.1</v>
      </c>
    </row>
    <row r="17" spans="1:9" x14ac:dyDescent="0.25">
      <c r="A17" t="s">
        <v>40</v>
      </c>
      <c r="B17" s="1">
        <v>38</v>
      </c>
      <c r="C17" s="6">
        <v>5</v>
      </c>
      <c r="D17" s="4">
        <v>7.6</v>
      </c>
      <c r="H17" t="str">
        <f t="shared" si="0"/>
        <v>De Cuyper</v>
      </c>
      <c r="I17" s="4">
        <f t="shared" si="1"/>
        <v>7.6</v>
      </c>
    </row>
    <row r="18" spans="1:9" x14ac:dyDescent="0.25">
      <c r="A18" t="s">
        <v>43</v>
      </c>
      <c r="B18" s="1">
        <v>34</v>
      </c>
      <c r="C18" s="6">
        <v>4.7</v>
      </c>
      <c r="D18" s="4">
        <v>7.23</v>
      </c>
      <c r="H18" t="str">
        <f t="shared" si="0"/>
        <v>Tzolakis</v>
      </c>
      <c r="I18" s="4">
        <f t="shared" si="1"/>
        <v>7.23</v>
      </c>
    </row>
    <row r="19" spans="1:9" x14ac:dyDescent="0.25">
      <c r="A19" t="s">
        <v>48</v>
      </c>
      <c r="B19" s="1">
        <v>43</v>
      </c>
      <c r="C19" s="6">
        <v>6.1</v>
      </c>
      <c r="D19" s="4">
        <v>7.05</v>
      </c>
      <c r="H19" t="str">
        <f t="shared" si="0"/>
        <v>Tarkowski</v>
      </c>
      <c r="I19" s="4">
        <f t="shared" si="1"/>
        <v>7.05</v>
      </c>
    </row>
    <row r="20" spans="1:9" x14ac:dyDescent="0.25">
      <c r="A20" t="s">
        <v>52</v>
      </c>
      <c r="B20" s="1">
        <v>37</v>
      </c>
      <c r="C20" s="6">
        <v>5.7</v>
      </c>
      <c r="D20" s="4">
        <v>6.49</v>
      </c>
      <c r="H20" t="str">
        <f t="shared" si="0"/>
        <v>Gvardiol</v>
      </c>
      <c r="I20" s="4">
        <f t="shared" si="1"/>
        <v>6.49</v>
      </c>
    </row>
    <row r="21" spans="1:9" x14ac:dyDescent="0.25">
      <c r="A21" t="s">
        <v>55</v>
      </c>
      <c r="B21" s="1">
        <v>27</v>
      </c>
      <c r="C21" s="6">
        <v>4.2</v>
      </c>
      <c r="D21" s="4">
        <v>6.43</v>
      </c>
      <c r="H21" t="str">
        <f t="shared" si="0"/>
        <v>Ajayi</v>
      </c>
      <c r="I21" s="4">
        <f t="shared" si="1"/>
        <v>6.43</v>
      </c>
    </row>
    <row r="22" spans="1:9" x14ac:dyDescent="0.25">
      <c r="A22" t="s">
        <v>57</v>
      </c>
      <c r="B22" s="1">
        <v>32</v>
      </c>
      <c r="C22" s="6">
        <v>5</v>
      </c>
      <c r="D22" s="4">
        <v>6.4</v>
      </c>
      <c r="H22" t="str">
        <f t="shared" si="0"/>
        <v>Vuskovic</v>
      </c>
      <c r="I22" s="4">
        <f t="shared" si="1"/>
        <v>6.4</v>
      </c>
    </row>
    <row r="23" spans="1:9" x14ac:dyDescent="0.25">
      <c r="A23" t="s">
        <v>59</v>
      </c>
      <c r="B23" s="1">
        <v>26</v>
      </c>
      <c r="C23" s="6">
        <v>4.0999999999999996</v>
      </c>
      <c r="D23" s="4">
        <v>6.34</v>
      </c>
      <c r="H23" t="str">
        <f t="shared" si="0"/>
        <v>Egan</v>
      </c>
      <c r="I23" s="4">
        <f t="shared" si="1"/>
        <v>6.34</v>
      </c>
    </row>
    <row r="24" spans="1:9" x14ac:dyDescent="0.25">
      <c r="A24" t="s">
        <v>61</v>
      </c>
      <c r="B24" s="1">
        <v>39</v>
      </c>
      <c r="C24" s="6">
        <v>6.2</v>
      </c>
      <c r="D24" s="4">
        <v>6.29</v>
      </c>
      <c r="H24" t="str">
        <f t="shared" si="0"/>
        <v>Schade</v>
      </c>
      <c r="I24" s="4">
        <f t="shared" si="1"/>
        <v>6.29</v>
      </c>
    </row>
  </sheetData>
  <mergeCells count="1">
    <mergeCell ref="A1:D1"/>
  </mergeCells>
  <conditionalFormatting pivot="1" sqref="D15:D24">
    <cfRule type="dataBar" priority="4">
      <dataBar showValue="0">
        <cfvo type="min"/>
        <cfvo type="max"/>
        <color rgb="FF63C384"/>
      </dataBar>
      <extLst>
        <ext xmlns:x14="http://schemas.microsoft.com/office/spreadsheetml/2009/9/main" uri="{B025F937-C7B1-47D3-B67F-A62EFF666E3E}">
          <x14:id>{EC164E25-CBF1-4885-85CA-909AC25697AA}</x14:id>
        </ext>
      </extLst>
    </cfRule>
  </conditionalFormatting>
  <conditionalFormatting sqref="G16">
    <cfRule type="dataBar" priority="1">
      <dataBar showValue="0">
        <cfvo type="min"/>
        <cfvo type="max"/>
        <color rgb="FF63C384"/>
      </dataBar>
      <extLst>
        <ext xmlns:x14="http://schemas.microsoft.com/office/spreadsheetml/2009/9/main" uri="{B025F937-C7B1-47D3-B67F-A62EFF666E3E}">
          <x14:id>{4888DCED-D9D0-4363-B8A9-D193CA129F57}</x14:id>
        </ext>
      </extLst>
    </cfRule>
  </conditionalFormatting>
  <pageMargins left="0.7" right="0.7" top="0.75" bottom="0.75" header="0.3" footer="0.3"/>
  <pageSetup paperSize="9" orientation="portrait" r:id="rId3"/>
  <drawing r:id="rId4"/>
  <extLst>
    <ext xmlns:x14="http://schemas.microsoft.com/office/spreadsheetml/2009/9/main" uri="{78C0D931-6437-407d-A8EE-F0AAD7539E65}">
      <x14:conditionalFormattings>
        <x14:conditionalFormatting xmlns:xm="http://schemas.microsoft.com/office/excel/2006/main" pivot="1">
          <x14:cfRule type="dataBar" id="{EC164E25-CBF1-4885-85CA-909AC25697AA}">
            <x14:dataBar minLength="0" maxLength="100" border="1" negativeBarBorderColorSameAsPositive="0">
              <x14:cfvo type="autoMin"/>
              <x14:cfvo type="autoMax"/>
              <x14:borderColor rgb="FF63C384"/>
              <x14:negativeFillColor rgb="FFFF0000"/>
              <x14:negativeBorderColor rgb="FFFF0000"/>
              <x14:axisColor rgb="FF000000"/>
            </x14:dataBar>
          </x14:cfRule>
          <xm:sqref>D15:D24</xm:sqref>
        </x14:conditionalFormatting>
        <x14:conditionalFormatting xmlns:xm="http://schemas.microsoft.com/office/excel/2006/main">
          <x14:cfRule type="dataBar" id="{4888DCED-D9D0-4363-B8A9-D193CA129F57}">
            <x14:dataBar minLength="0" maxLength="100" border="1" negativeBarBorderColorSameAsPositive="0">
              <x14:cfvo type="autoMin"/>
              <x14:cfvo type="autoMax"/>
              <x14:borderColor rgb="FF63C384"/>
              <x14:negativeFillColor rgb="FFFF0000"/>
              <x14:negativeBorderColor rgb="FFFF0000"/>
              <x14:axisColor rgb="FF000000"/>
            </x14:dataBar>
          </x14:cfRule>
          <xm:sqref>G16</xm:sqref>
        </x14:conditionalFormatting>
      </x14:conditionalFormattings>
    </ex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B2D2-7923-4FAE-9AB0-76A01527118B}">
  <dimension ref="A3:AH24"/>
  <sheetViews>
    <sheetView topLeftCell="A4" workbookViewId="0">
      <selection activeCell="C28" sqref="C28"/>
    </sheetView>
  </sheetViews>
  <sheetFormatPr defaultRowHeight="15" x14ac:dyDescent="0.25"/>
  <cols>
    <col min="1" max="1" width="21.42578125" bestFit="1" customWidth="1"/>
    <col min="2" max="2" width="15.5703125" bestFit="1" customWidth="1"/>
    <col min="3" max="5" width="2" bestFit="1" customWidth="1"/>
    <col min="6" max="34" width="3" bestFit="1" customWidth="1"/>
    <col min="35" max="35" width="12" bestFit="1" customWidth="1"/>
  </cols>
  <sheetData>
    <row r="3" spans="1:34" x14ac:dyDescent="0.25">
      <c r="A3" s="2" t="s">
        <v>568</v>
      </c>
      <c r="B3" s="2" t="s">
        <v>552</v>
      </c>
    </row>
    <row r="4" spans="1:34" x14ac:dyDescent="0.25">
      <c r="A4" s="2" t="s">
        <v>6</v>
      </c>
      <c r="B4">
        <v>6</v>
      </c>
      <c r="C4">
        <v>7</v>
      </c>
      <c r="D4">
        <v>8</v>
      </c>
      <c r="E4">
        <v>9</v>
      </c>
      <c r="F4">
        <v>10</v>
      </c>
      <c r="G4">
        <v>11</v>
      </c>
      <c r="H4">
        <v>12</v>
      </c>
      <c r="I4">
        <v>13</v>
      </c>
      <c r="J4">
        <v>14</v>
      </c>
      <c r="K4">
        <v>15</v>
      </c>
      <c r="L4">
        <v>16</v>
      </c>
      <c r="M4">
        <v>17</v>
      </c>
      <c r="N4">
        <v>18</v>
      </c>
      <c r="O4">
        <v>19</v>
      </c>
      <c r="P4">
        <v>20</v>
      </c>
      <c r="Q4">
        <v>21</v>
      </c>
      <c r="R4">
        <v>22</v>
      </c>
      <c r="S4">
        <v>23</v>
      </c>
      <c r="T4">
        <v>24</v>
      </c>
      <c r="U4">
        <v>25</v>
      </c>
      <c r="V4">
        <v>26</v>
      </c>
      <c r="W4">
        <v>27</v>
      </c>
      <c r="X4">
        <v>28</v>
      </c>
      <c r="Y4">
        <v>29</v>
      </c>
      <c r="Z4">
        <v>30</v>
      </c>
      <c r="AA4">
        <v>31</v>
      </c>
      <c r="AB4">
        <v>32</v>
      </c>
      <c r="AC4">
        <v>33</v>
      </c>
      <c r="AD4">
        <v>34</v>
      </c>
      <c r="AE4">
        <v>35</v>
      </c>
      <c r="AF4">
        <v>36</v>
      </c>
      <c r="AG4">
        <v>37</v>
      </c>
      <c r="AH4">
        <v>38</v>
      </c>
    </row>
    <row r="5" spans="1:34" x14ac:dyDescent="0.25">
      <c r="A5" t="s">
        <v>96</v>
      </c>
      <c r="B5" s="3">
        <v>4</v>
      </c>
      <c r="C5" s="3">
        <v>3</v>
      </c>
      <c r="D5" s="3">
        <v>4</v>
      </c>
      <c r="E5" s="3">
        <v>3</v>
      </c>
      <c r="F5" s="3">
        <v>2</v>
      </c>
      <c r="G5" s="3">
        <v>3</v>
      </c>
      <c r="H5" s="3">
        <v>3</v>
      </c>
      <c r="I5" s="3">
        <v>3</v>
      </c>
      <c r="J5" s="3">
        <v>2</v>
      </c>
      <c r="K5" s="3">
        <v>5</v>
      </c>
      <c r="L5" s="3">
        <v>2</v>
      </c>
      <c r="M5" s="3">
        <v>3</v>
      </c>
      <c r="N5" s="3">
        <v>3</v>
      </c>
      <c r="O5" s="3">
        <v>3</v>
      </c>
      <c r="P5" s="3">
        <v>4</v>
      </c>
      <c r="Q5" s="3">
        <v>2</v>
      </c>
      <c r="R5" s="3">
        <v>3</v>
      </c>
      <c r="S5" s="3">
        <v>2</v>
      </c>
      <c r="T5" s="3">
        <v>3</v>
      </c>
      <c r="U5" s="3">
        <v>3</v>
      </c>
      <c r="V5" s="3">
        <v>2</v>
      </c>
      <c r="W5" s="3">
        <v>2</v>
      </c>
      <c r="X5" s="3">
        <v>2</v>
      </c>
      <c r="Y5" s="3">
        <v>3</v>
      </c>
      <c r="Z5" s="3">
        <v>3</v>
      </c>
      <c r="AA5" s="3">
        <v>4</v>
      </c>
      <c r="AB5" s="3">
        <v>3</v>
      </c>
      <c r="AC5" s="3">
        <v>4</v>
      </c>
      <c r="AD5" s="3">
        <v>2</v>
      </c>
      <c r="AE5" s="3">
        <v>4</v>
      </c>
      <c r="AF5" s="3">
        <v>3</v>
      </c>
      <c r="AG5" s="3">
        <v>4</v>
      </c>
      <c r="AH5" s="3">
        <v>4</v>
      </c>
    </row>
    <row r="6" spans="1:34" x14ac:dyDescent="0.25">
      <c r="A6" t="s">
        <v>104</v>
      </c>
      <c r="B6" s="3">
        <v>3</v>
      </c>
      <c r="C6" s="3">
        <v>3</v>
      </c>
      <c r="D6" s="3">
        <v>3</v>
      </c>
      <c r="E6" s="3">
        <v>4</v>
      </c>
      <c r="F6" s="3">
        <v>2</v>
      </c>
      <c r="G6" s="3">
        <v>3</v>
      </c>
      <c r="H6" s="3">
        <v>4</v>
      </c>
      <c r="I6" s="3">
        <v>3</v>
      </c>
      <c r="J6" s="3">
        <v>3</v>
      </c>
      <c r="K6" s="3">
        <v>3</v>
      </c>
      <c r="L6" s="3">
        <v>4</v>
      </c>
      <c r="M6" s="3">
        <v>3</v>
      </c>
      <c r="N6" s="3">
        <v>3</v>
      </c>
      <c r="O6" s="3">
        <v>2</v>
      </c>
      <c r="P6" s="3">
        <v>3</v>
      </c>
      <c r="Q6" s="3">
        <v>2</v>
      </c>
      <c r="R6" s="3">
        <v>3</v>
      </c>
      <c r="S6" s="3">
        <v>5</v>
      </c>
      <c r="T6" s="3">
        <v>4</v>
      </c>
      <c r="U6" s="3">
        <v>2</v>
      </c>
      <c r="V6" s="3">
        <v>2</v>
      </c>
      <c r="W6" s="3">
        <v>4</v>
      </c>
      <c r="X6" s="3">
        <v>2</v>
      </c>
      <c r="Y6" s="3">
        <v>4</v>
      </c>
      <c r="Z6" s="3">
        <v>3</v>
      </c>
      <c r="AA6" s="3">
        <v>2</v>
      </c>
      <c r="AB6" s="3">
        <v>3</v>
      </c>
      <c r="AC6" s="3">
        <v>3</v>
      </c>
      <c r="AD6" s="3">
        <v>2</v>
      </c>
      <c r="AE6" s="3">
        <v>3</v>
      </c>
      <c r="AF6" s="3">
        <v>3</v>
      </c>
      <c r="AG6" s="3">
        <v>3</v>
      </c>
      <c r="AH6" s="3">
        <v>3</v>
      </c>
    </row>
    <row r="7" spans="1:34" x14ac:dyDescent="0.25">
      <c r="A7" t="s">
        <v>215</v>
      </c>
      <c r="B7" s="3">
        <v>3</v>
      </c>
      <c r="C7" s="3">
        <v>3</v>
      </c>
      <c r="D7" s="3">
        <v>4</v>
      </c>
      <c r="E7" s="3">
        <v>2</v>
      </c>
      <c r="F7" s="3">
        <v>4</v>
      </c>
      <c r="G7" s="3">
        <v>3</v>
      </c>
      <c r="H7" s="3">
        <v>2</v>
      </c>
      <c r="I7" s="3">
        <v>3</v>
      </c>
      <c r="J7" s="3">
        <v>2</v>
      </c>
      <c r="K7" s="3">
        <v>2</v>
      </c>
      <c r="L7" s="3">
        <v>4</v>
      </c>
      <c r="M7" s="3">
        <v>3</v>
      </c>
      <c r="N7" s="3">
        <v>4</v>
      </c>
      <c r="O7" s="3">
        <v>3</v>
      </c>
      <c r="P7" s="3">
        <v>3</v>
      </c>
      <c r="Q7" s="3">
        <v>4</v>
      </c>
      <c r="R7" s="3">
        <v>3</v>
      </c>
      <c r="S7" s="3">
        <v>2</v>
      </c>
      <c r="T7" s="3">
        <v>3</v>
      </c>
      <c r="U7" s="3">
        <v>3</v>
      </c>
      <c r="V7" s="3">
        <v>3</v>
      </c>
      <c r="W7" s="3">
        <v>4</v>
      </c>
      <c r="X7" s="3">
        <v>4</v>
      </c>
      <c r="Y7" s="3">
        <v>2</v>
      </c>
      <c r="Z7" s="3">
        <v>3</v>
      </c>
      <c r="AA7" s="3">
        <v>3</v>
      </c>
      <c r="AB7" s="3">
        <v>5</v>
      </c>
      <c r="AC7" s="3">
        <v>2</v>
      </c>
      <c r="AD7" s="3">
        <v>3</v>
      </c>
      <c r="AE7" s="3">
        <v>3</v>
      </c>
      <c r="AF7" s="3">
        <v>3</v>
      </c>
      <c r="AG7" s="3">
        <v>5</v>
      </c>
      <c r="AH7" s="3">
        <v>2</v>
      </c>
    </row>
    <row r="8" spans="1:34" x14ac:dyDescent="0.25">
      <c r="A8" t="s">
        <v>63</v>
      </c>
      <c r="B8" s="3">
        <v>3</v>
      </c>
      <c r="C8" s="3">
        <v>4</v>
      </c>
      <c r="D8" s="3">
        <v>2</v>
      </c>
      <c r="E8" s="3">
        <v>3</v>
      </c>
      <c r="F8" s="3">
        <v>4</v>
      </c>
      <c r="G8" s="3">
        <v>3</v>
      </c>
      <c r="H8" s="3">
        <v>4</v>
      </c>
      <c r="I8" s="3">
        <v>4</v>
      </c>
      <c r="J8" s="3">
        <v>4</v>
      </c>
      <c r="K8" s="3">
        <v>3</v>
      </c>
      <c r="L8" s="3">
        <v>3</v>
      </c>
      <c r="M8" s="3">
        <v>2</v>
      </c>
      <c r="N8" s="3">
        <v>2</v>
      </c>
      <c r="O8" s="3">
        <v>2</v>
      </c>
      <c r="P8" s="3">
        <v>5</v>
      </c>
      <c r="Q8" s="3">
        <v>3</v>
      </c>
      <c r="R8" s="3">
        <v>3</v>
      </c>
      <c r="S8" s="3">
        <v>4</v>
      </c>
      <c r="T8" s="3">
        <v>3</v>
      </c>
      <c r="U8" s="3">
        <v>3</v>
      </c>
      <c r="V8" s="3">
        <v>2</v>
      </c>
      <c r="W8" s="3">
        <v>3</v>
      </c>
      <c r="X8" s="3">
        <v>2</v>
      </c>
      <c r="Y8" s="3">
        <v>3</v>
      </c>
      <c r="Z8" s="3">
        <v>3</v>
      </c>
      <c r="AA8" s="3">
        <v>3</v>
      </c>
      <c r="AB8" s="3">
        <v>3</v>
      </c>
      <c r="AC8" s="3">
        <v>2</v>
      </c>
      <c r="AD8" s="3">
        <v>5</v>
      </c>
      <c r="AE8" s="3">
        <v>3</v>
      </c>
      <c r="AF8" s="3">
        <v>4</v>
      </c>
      <c r="AG8" s="3">
        <v>2</v>
      </c>
      <c r="AH8" s="3">
        <v>4</v>
      </c>
    </row>
    <row r="9" spans="1:34" x14ac:dyDescent="0.25">
      <c r="A9" t="s">
        <v>34</v>
      </c>
      <c r="B9" s="3">
        <v>3</v>
      </c>
      <c r="C9" s="3">
        <v>2</v>
      </c>
      <c r="D9" s="3">
        <v>4</v>
      </c>
      <c r="E9" s="3">
        <v>5</v>
      </c>
      <c r="F9" s="3">
        <v>3</v>
      </c>
      <c r="G9" s="3">
        <v>2</v>
      </c>
      <c r="H9" s="3">
        <v>3</v>
      </c>
      <c r="I9" s="3">
        <v>3</v>
      </c>
      <c r="J9" s="3">
        <v>3</v>
      </c>
      <c r="K9" s="3">
        <v>3</v>
      </c>
      <c r="L9" s="3">
        <v>2</v>
      </c>
      <c r="M9" s="3">
        <v>3</v>
      </c>
      <c r="N9" s="3">
        <v>3</v>
      </c>
      <c r="O9" s="3">
        <v>4</v>
      </c>
      <c r="P9" s="3">
        <v>3</v>
      </c>
      <c r="Q9" s="3">
        <v>3</v>
      </c>
      <c r="R9" s="3">
        <v>4</v>
      </c>
      <c r="S9" s="3">
        <v>3</v>
      </c>
      <c r="T9" s="3">
        <v>2</v>
      </c>
      <c r="U9" s="3">
        <v>4</v>
      </c>
      <c r="V9" s="3">
        <v>2</v>
      </c>
      <c r="W9" s="3">
        <v>2</v>
      </c>
      <c r="X9" s="3">
        <v>2</v>
      </c>
      <c r="Y9" s="3">
        <v>3</v>
      </c>
      <c r="Z9" s="3">
        <v>2</v>
      </c>
      <c r="AA9" s="3">
        <v>3</v>
      </c>
      <c r="AB9" s="3">
        <v>4</v>
      </c>
      <c r="AC9" s="3">
        <v>3</v>
      </c>
      <c r="AD9" s="3">
        <v>3</v>
      </c>
      <c r="AE9" s="3">
        <v>3</v>
      </c>
      <c r="AF9" s="3">
        <v>3</v>
      </c>
      <c r="AG9" s="3">
        <v>4</v>
      </c>
      <c r="AH9" s="3">
        <v>5</v>
      </c>
    </row>
    <row r="10" spans="1:34" x14ac:dyDescent="0.25">
      <c r="A10" t="s">
        <v>158</v>
      </c>
      <c r="B10" s="3">
        <v>3</v>
      </c>
      <c r="C10" s="3">
        <v>3</v>
      </c>
      <c r="D10" s="3">
        <v>2</v>
      </c>
      <c r="E10" s="3">
        <v>4</v>
      </c>
      <c r="F10" s="3">
        <v>3</v>
      </c>
      <c r="G10" s="3">
        <v>3</v>
      </c>
      <c r="H10" s="3">
        <v>3</v>
      </c>
      <c r="I10" s="3">
        <v>2</v>
      </c>
      <c r="J10" s="3">
        <v>4</v>
      </c>
      <c r="K10" s="3">
        <v>5</v>
      </c>
      <c r="L10" s="3">
        <v>3</v>
      </c>
      <c r="M10" s="3">
        <v>2</v>
      </c>
      <c r="N10" s="3">
        <v>2</v>
      </c>
      <c r="O10" s="3">
        <v>3</v>
      </c>
      <c r="P10" s="3">
        <v>3</v>
      </c>
      <c r="Q10" s="3">
        <v>3</v>
      </c>
      <c r="R10" s="3">
        <v>3</v>
      </c>
      <c r="S10" s="3">
        <v>3</v>
      </c>
      <c r="T10" s="3">
        <v>4</v>
      </c>
      <c r="U10" s="3">
        <v>3</v>
      </c>
      <c r="V10" s="3">
        <v>2</v>
      </c>
      <c r="W10" s="3">
        <v>3</v>
      </c>
      <c r="X10" s="3">
        <v>2</v>
      </c>
      <c r="Y10" s="3">
        <v>4</v>
      </c>
      <c r="Z10" s="3">
        <v>2</v>
      </c>
      <c r="AA10" s="3">
        <v>2</v>
      </c>
      <c r="AB10" s="3">
        <v>4</v>
      </c>
      <c r="AC10" s="3">
        <v>4</v>
      </c>
      <c r="AD10" s="3">
        <v>4</v>
      </c>
      <c r="AE10" s="3">
        <v>3</v>
      </c>
      <c r="AF10" s="3">
        <v>3</v>
      </c>
      <c r="AG10" s="3">
        <v>3</v>
      </c>
      <c r="AH10" s="3">
        <v>3</v>
      </c>
    </row>
    <row r="11" spans="1:34" x14ac:dyDescent="0.25">
      <c r="A11" t="s">
        <v>75</v>
      </c>
      <c r="B11" s="3">
        <v>3</v>
      </c>
      <c r="C11" s="3">
        <v>3</v>
      </c>
      <c r="D11" s="3">
        <v>2</v>
      </c>
      <c r="E11" s="3">
        <v>3</v>
      </c>
      <c r="F11" s="3">
        <v>3</v>
      </c>
      <c r="G11" s="3">
        <v>2</v>
      </c>
      <c r="H11" s="3">
        <v>3</v>
      </c>
      <c r="I11" s="3">
        <v>2</v>
      </c>
      <c r="J11" s="3">
        <v>4</v>
      </c>
      <c r="K11" s="3">
        <v>3</v>
      </c>
      <c r="L11" s="3">
        <v>3</v>
      </c>
      <c r="M11" s="3">
        <v>4</v>
      </c>
      <c r="N11" s="3">
        <v>3</v>
      </c>
      <c r="O11" s="3">
        <v>4</v>
      </c>
      <c r="P11" s="3">
        <v>2</v>
      </c>
      <c r="Q11" s="3">
        <v>3</v>
      </c>
      <c r="R11" s="3">
        <v>3</v>
      </c>
      <c r="S11" s="3">
        <v>3</v>
      </c>
      <c r="T11" s="3">
        <v>3</v>
      </c>
      <c r="U11" s="3">
        <v>4</v>
      </c>
      <c r="V11" s="3">
        <v>3</v>
      </c>
      <c r="W11" s="3">
        <v>3</v>
      </c>
      <c r="X11" s="3">
        <v>4</v>
      </c>
      <c r="Y11" s="3">
        <v>4</v>
      </c>
      <c r="Z11" s="3">
        <v>4</v>
      </c>
      <c r="AA11" s="3">
        <v>4</v>
      </c>
      <c r="AB11" s="3">
        <v>2</v>
      </c>
      <c r="AC11" s="3">
        <v>3</v>
      </c>
      <c r="AD11" s="3">
        <v>4</v>
      </c>
      <c r="AE11" s="3">
        <v>3</v>
      </c>
      <c r="AF11" s="3">
        <v>2</v>
      </c>
      <c r="AG11" s="3">
        <v>3</v>
      </c>
      <c r="AH11" s="3">
        <v>3</v>
      </c>
    </row>
    <row r="12" spans="1:34" x14ac:dyDescent="0.25">
      <c r="A12" t="s">
        <v>91</v>
      </c>
      <c r="B12" s="3">
        <v>3</v>
      </c>
      <c r="C12" s="3">
        <v>4</v>
      </c>
      <c r="D12" s="3">
        <v>3</v>
      </c>
      <c r="E12" s="3">
        <v>3</v>
      </c>
      <c r="F12" s="3">
        <v>4</v>
      </c>
      <c r="G12" s="3">
        <v>2</v>
      </c>
      <c r="H12" s="3">
        <v>2</v>
      </c>
      <c r="I12" s="3">
        <v>4</v>
      </c>
      <c r="J12" s="3">
        <v>3</v>
      </c>
      <c r="K12" s="3">
        <v>4</v>
      </c>
      <c r="L12" s="3">
        <v>3</v>
      </c>
      <c r="M12" s="3">
        <v>4</v>
      </c>
      <c r="N12" s="3">
        <v>3</v>
      </c>
      <c r="O12" s="3">
        <v>3</v>
      </c>
      <c r="P12" s="3">
        <v>4</v>
      </c>
      <c r="Q12" s="3">
        <v>4</v>
      </c>
      <c r="R12" s="3">
        <v>2</v>
      </c>
      <c r="S12" s="3">
        <v>2</v>
      </c>
      <c r="T12" s="3">
        <v>2</v>
      </c>
      <c r="U12" s="3">
        <v>3</v>
      </c>
      <c r="V12" s="3">
        <v>3</v>
      </c>
      <c r="W12" s="3">
        <v>3</v>
      </c>
      <c r="X12" s="3">
        <v>5</v>
      </c>
      <c r="Y12" s="3">
        <v>2</v>
      </c>
      <c r="Z12" s="3">
        <v>2</v>
      </c>
      <c r="AA12" s="3">
        <v>3</v>
      </c>
      <c r="AB12" s="3">
        <v>5</v>
      </c>
      <c r="AC12" s="3">
        <v>4</v>
      </c>
      <c r="AD12" s="3">
        <v>3</v>
      </c>
      <c r="AE12" s="3">
        <v>3</v>
      </c>
      <c r="AF12" s="3">
        <v>3</v>
      </c>
      <c r="AG12" s="3">
        <v>3</v>
      </c>
      <c r="AH12" s="3">
        <v>3</v>
      </c>
    </row>
    <row r="13" spans="1:34" x14ac:dyDescent="0.25">
      <c r="A13" t="s">
        <v>50</v>
      </c>
      <c r="B13" s="3">
        <v>2</v>
      </c>
      <c r="C13" s="3">
        <v>4</v>
      </c>
      <c r="D13" s="3">
        <v>5</v>
      </c>
      <c r="E13" s="3">
        <v>3</v>
      </c>
      <c r="F13" s="3">
        <v>2</v>
      </c>
      <c r="G13" s="3">
        <v>3</v>
      </c>
      <c r="H13" s="3">
        <v>4</v>
      </c>
      <c r="I13" s="3">
        <v>3</v>
      </c>
      <c r="J13" s="3">
        <v>2</v>
      </c>
      <c r="K13" s="3">
        <v>4</v>
      </c>
      <c r="L13" s="3">
        <v>3</v>
      </c>
      <c r="M13" s="3">
        <v>3</v>
      </c>
      <c r="N13" s="3">
        <v>4</v>
      </c>
      <c r="O13" s="3">
        <v>3</v>
      </c>
      <c r="P13" s="3">
        <v>3</v>
      </c>
      <c r="Q13" s="3">
        <v>2</v>
      </c>
      <c r="R13" s="3">
        <v>3</v>
      </c>
      <c r="S13" s="3">
        <v>4</v>
      </c>
      <c r="T13" s="3">
        <v>3</v>
      </c>
      <c r="U13" s="3">
        <v>3</v>
      </c>
      <c r="V13" s="3">
        <v>3</v>
      </c>
      <c r="W13" s="3">
        <v>3</v>
      </c>
      <c r="X13" s="3">
        <v>5</v>
      </c>
      <c r="Y13" s="3">
        <v>4</v>
      </c>
      <c r="Z13" s="3">
        <v>2</v>
      </c>
      <c r="AA13" s="3">
        <v>3</v>
      </c>
      <c r="AB13" s="3">
        <v>3</v>
      </c>
      <c r="AC13" s="3">
        <v>3</v>
      </c>
      <c r="AD13" s="3">
        <v>3</v>
      </c>
      <c r="AE13" s="3">
        <v>2</v>
      </c>
      <c r="AF13" s="3">
        <v>4</v>
      </c>
      <c r="AG13" s="3">
        <v>4</v>
      </c>
      <c r="AH13" s="3">
        <v>2</v>
      </c>
    </row>
    <row r="14" spans="1:34" x14ac:dyDescent="0.25">
      <c r="A14" t="s">
        <v>149</v>
      </c>
      <c r="B14" s="3">
        <v>2</v>
      </c>
      <c r="C14" s="3">
        <v>2</v>
      </c>
      <c r="D14" s="3">
        <v>2</v>
      </c>
      <c r="E14" s="3">
        <v>3</v>
      </c>
      <c r="F14" s="3">
        <v>3</v>
      </c>
      <c r="G14" s="3">
        <v>5</v>
      </c>
      <c r="H14" s="3">
        <v>3</v>
      </c>
      <c r="I14" s="3">
        <v>3</v>
      </c>
      <c r="J14" s="3">
        <v>3</v>
      </c>
      <c r="K14" s="3">
        <v>3</v>
      </c>
      <c r="L14" s="3">
        <v>3</v>
      </c>
      <c r="M14" s="3">
        <v>3</v>
      </c>
      <c r="N14" s="3">
        <v>4</v>
      </c>
      <c r="O14" s="3">
        <v>3</v>
      </c>
      <c r="P14" s="3">
        <v>2</v>
      </c>
      <c r="Q14" s="3">
        <v>3</v>
      </c>
      <c r="R14" s="3">
        <v>3</v>
      </c>
      <c r="S14" s="3">
        <v>3</v>
      </c>
      <c r="T14" s="3">
        <v>4</v>
      </c>
      <c r="U14" s="3">
        <v>3</v>
      </c>
      <c r="V14" s="3">
        <v>5</v>
      </c>
      <c r="W14" s="3">
        <v>3</v>
      </c>
      <c r="X14" s="3">
        <v>4</v>
      </c>
      <c r="Y14" s="3">
        <v>3</v>
      </c>
      <c r="Z14" s="3">
        <v>4</v>
      </c>
      <c r="AA14" s="3">
        <v>4</v>
      </c>
      <c r="AB14" s="3">
        <v>3</v>
      </c>
      <c r="AC14" s="3">
        <v>3</v>
      </c>
      <c r="AD14" s="3">
        <v>3</v>
      </c>
      <c r="AE14" s="3">
        <v>2</v>
      </c>
      <c r="AF14" s="3">
        <v>2</v>
      </c>
      <c r="AG14" s="3">
        <v>2</v>
      </c>
      <c r="AH14" s="3">
        <v>4</v>
      </c>
    </row>
    <row r="15" spans="1:34" x14ac:dyDescent="0.25">
      <c r="A15" t="s">
        <v>45</v>
      </c>
      <c r="B15" s="3">
        <v>3</v>
      </c>
      <c r="C15" s="3">
        <v>3</v>
      </c>
      <c r="D15" s="3">
        <v>3</v>
      </c>
      <c r="E15" s="3">
        <v>2</v>
      </c>
      <c r="F15" s="3">
        <v>5</v>
      </c>
      <c r="G15" s="3">
        <v>3</v>
      </c>
      <c r="H15" s="3">
        <v>3</v>
      </c>
      <c r="I15" s="3">
        <v>3</v>
      </c>
      <c r="J15" s="3">
        <v>3</v>
      </c>
      <c r="K15" s="3">
        <v>2</v>
      </c>
      <c r="L15" s="3">
        <v>5</v>
      </c>
      <c r="M15" s="3">
        <v>4</v>
      </c>
      <c r="N15" s="3">
        <v>3</v>
      </c>
      <c r="O15" s="3">
        <v>3</v>
      </c>
      <c r="P15" s="3">
        <v>3</v>
      </c>
      <c r="Q15" s="3">
        <v>4</v>
      </c>
      <c r="R15" s="3">
        <v>2</v>
      </c>
      <c r="S15" s="3">
        <v>2</v>
      </c>
      <c r="T15" s="3">
        <v>4</v>
      </c>
      <c r="U15" s="3">
        <v>3</v>
      </c>
      <c r="V15" s="3">
        <v>4</v>
      </c>
      <c r="W15" s="3">
        <v>4</v>
      </c>
      <c r="X15" s="3">
        <v>3</v>
      </c>
      <c r="Y15" s="3">
        <v>3</v>
      </c>
      <c r="Z15" s="3">
        <v>4</v>
      </c>
      <c r="AA15" s="3">
        <v>4</v>
      </c>
      <c r="AB15" s="3">
        <v>2</v>
      </c>
      <c r="AC15" s="3">
        <v>3</v>
      </c>
      <c r="AD15" s="3">
        <v>3</v>
      </c>
      <c r="AE15" s="3">
        <v>3</v>
      </c>
      <c r="AF15" s="3">
        <v>2</v>
      </c>
      <c r="AG15" s="3">
        <v>3</v>
      </c>
      <c r="AH15" s="3">
        <v>3</v>
      </c>
    </row>
    <row r="16" spans="1:34" x14ac:dyDescent="0.25">
      <c r="A16" t="s">
        <v>66</v>
      </c>
      <c r="B16" s="3">
        <v>2</v>
      </c>
      <c r="C16" s="3">
        <v>5</v>
      </c>
      <c r="D16" s="3">
        <v>3</v>
      </c>
      <c r="E16" s="3">
        <v>2</v>
      </c>
      <c r="F16" s="3">
        <v>3</v>
      </c>
      <c r="G16" s="3">
        <v>3</v>
      </c>
      <c r="H16" s="3">
        <v>3</v>
      </c>
      <c r="I16" s="3">
        <v>2</v>
      </c>
      <c r="J16" s="3">
        <v>3</v>
      </c>
      <c r="K16" s="3">
        <v>3</v>
      </c>
      <c r="L16" s="3">
        <v>4</v>
      </c>
      <c r="M16" s="3">
        <v>3</v>
      </c>
      <c r="N16" s="3">
        <v>4</v>
      </c>
      <c r="O16" s="3">
        <v>5</v>
      </c>
      <c r="P16" s="3">
        <v>2</v>
      </c>
      <c r="Q16" s="3">
        <v>3</v>
      </c>
      <c r="R16" s="3">
        <v>2</v>
      </c>
      <c r="S16" s="3">
        <v>3</v>
      </c>
      <c r="T16" s="3">
        <v>2</v>
      </c>
      <c r="U16" s="3">
        <v>4</v>
      </c>
      <c r="V16" s="3">
        <v>4</v>
      </c>
      <c r="W16" s="3">
        <v>3</v>
      </c>
      <c r="X16" s="3">
        <v>3</v>
      </c>
      <c r="Y16" s="3">
        <v>4</v>
      </c>
      <c r="Z16" s="3">
        <v>2</v>
      </c>
      <c r="AA16" s="3">
        <v>3</v>
      </c>
      <c r="AB16" s="3">
        <v>4</v>
      </c>
      <c r="AC16" s="3">
        <v>3</v>
      </c>
      <c r="AD16" s="3">
        <v>3</v>
      </c>
      <c r="AE16" s="3">
        <v>3</v>
      </c>
      <c r="AF16" s="3">
        <v>4</v>
      </c>
      <c r="AG16" s="3">
        <v>3</v>
      </c>
      <c r="AH16" s="3">
        <v>3</v>
      </c>
    </row>
    <row r="17" spans="1:34" x14ac:dyDescent="0.25">
      <c r="A17" t="s">
        <v>22</v>
      </c>
      <c r="B17" s="3">
        <v>5</v>
      </c>
      <c r="C17" s="3">
        <v>4</v>
      </c>
      <c r="D17" s="3">
        <v>3</v>
      </c>
      <c r="E17" s="3">
        <v>3</v>
      </c>
      <c r="F17" s="3">
        <v>2</v>
      </c>
      <c r="G17" s="3">
        <v>4</v>
      </c>
      <c r="H17" s="3">
        <v>2</v>
      </c>
      <c r="I17" s="3">
        <v>5</v>
      </c>
      <c r="J17" s="3">
        <v>2</v>
      </c>
      <c r="K17" s="3">
        <v>4</v>
      </c>
      <c r="L17" s="3">
        <v>2</v>
      </c>
      <c r="M17" s="3">
        <v>3</v>
      </c>
      <c r="N17" s="3">
        <v>2</v>
      </c>
      <c r="O17" s="3">
        <v>3</v>
      </c>
      <c r="P17" s="3">
        <v>4</v>
      </c>
      <c r="Q17" s="3">
        <v>3</v>
      </c>
      <c r="R17" s="3">
        <v>4</v>
      </c>
      <c r="S17" s="3">
        <v>2</v>
      </c>
      <c r="T17" s="3">
        <v>3</v>
      </c>
      <c r="U17" s="3">
        <v>3</v>
      </c>
      <c r="V17" s="3">
        <v>3</v>
      </c>
      <c r="W17" s="3">
        <v>3</v>
      </c>
      <c r="X17" s="3">
        <v>2</v>
      </c>
      <c r="Y17" s="3">
        <v>3</v>
      </c>
      <c r="Z17" s="3">
        <v>3</v>
      </c>
      <c r="AA17" s="3">
        <v>3</v>
      </c>
      <c r="AB17" s="3">
        <v>3</v>
      </c>
      <c r="AC17" s="3">
        <v>4</v>
      </c>
      <c r="AD17" s="3">
        <v>2</v>
      </c>
      <c r="AE17" s="3">
        <v>4</v>
      </c>
      <c r="AF17" s="3">
        <v>4</v>
      </c>
      <c r="AG17" s="3">
        <v>3</v>
      </c>
      <c r="AH17" s="3">
        <v>3</v>
      </c>
    </row>
    <row r="18" spans="1:34" x14ac:dyDescent="0.25">
      <c r="A18" t="s">
        <v>117</v>
      </c>
      <c r="B18" s="3">
        <v>4</v>
      </c>
      <c r="C18" s="3">
        <v>3</v>
      </c>
      <c r="D18" s="3">
        <v>3</v>
      </c>
      <c r="E18" s="3">
        <v>4</v>
      </c>
      <c r="F18" s="3">
        <v>3</v>
      </c>
      <c r="G18" s="3">
        <v>4</v>
      </c>
      <c r="H18" s="3">
        <v>3</v>
      </c>
      <c r="I18" s="3">
        <v>3</v>
      </c>
      <c r="J18" s="3">
        <v>4</v>
      </c>
      <c r="K18" s="3">
        <v>3</v>
      </c>
      <c r="L18" s="3">
        <v>2</v>
      </c>
      <c r="M18" s="3">
        <v>2</v>
      </c>
      <c r="N18" s="3">
        <v>3</v>
      </c>
      <c r="O18" s="3">
        <v>2</v>
      </c>
      <c r="P18" s="3">
        <v>3</v>
      </c>
      <c r="Q18" s="3">
        <v>2</v>
      </c>
      <c r="R18" s="3">
        <v>4</v>
      </c>
      <c r="S18" s="3">
        <v>3</v>
      </c>
      <c r="T18" s="3">
        <v>5</v>
      </c>
      <c r="U18" s="3">
        <v>2</v>
      </c>
      <c r="V18" s="3">
        <v>2</v>
      </c>
      <c r="W18" s="3">
        <v>3</v>
      </c>
      <c r="X18" s="3">
        <v>3</v>
      </c>
      <c r="Y18" s="3">
        <v>2</v>
      </c>
      <c r="Z18" s="3">
        <v>3</v>
      </c>
      <c r="AA18" s="3">
        <v>3</v>
      </c>
      <c r="AB18" s="3">
        <v>3</v>
      </c>
      <c r="AC18" s="3">
        <v>3</v>
      </c>
      <c r="AD18" s="3">
        <v>4</v>
      </c>
      <c r="AE18" s="3">
        <v>5</v>
      </c>
      <c r="AF18" s="3">
        <v>3</v>
      </c>
      <c r="AG18" s="3">
        <v>4</v>
      </c>
      <c r="AH18" s="3">
        <v>3</v>
      </c>
    </row>
    <row r="19" spans="1:34" x14ac:dyDescent="0.25">
      <c r="A19" t="s">
        <v>54</v>
      </c>
      <c r="B19" s="3">
        <v>4</v>
      </c>
      <c r="C19" s="3">
        <v>2</v>
      </c>
      <c r="D19" s="3">
        <v>3</v>
      </c>
      <c r="E19" s="3">
        <v>3</v>
      </c>
      <c r="F19" s="3">
        <v>3</v>
      </c>
      <c r="G19" s="3">
        <v>2</v>
      </c>
      <c r="H19" s="3">
        <v>5</v>
      </c>
      <c r="I19" s="3">
        <v>3</v>
      </c>
      <c r="J19" s="3">
        <v>3</v>
      </c>
      <c r="K19" s="3">
        <v>4</v>
      </c>
      <c r="L19" s="3">
        <v>2</v>
      </c>
      <c r="M19" s="3">
        <v>3</v>
      </c>
      <c r="N19" s="3">
        <v>3</v>
      </c>
      <c r="O19" s="3">
        <v>2</v>
      </c>
      <c r="P19" s="3">
        <v>3</v>
      </c>
      <c r="Q19" s="3">
        <v>3</v>
      </c>
      <c r="R19" s="3">
        <v>4</v>
      </c>
      <c r="S19" s="3">
        <v>4</v>
      </c>
      <c r="T19" s="3">
        <v>3</v>
      </c>
      <c r="U19" s="3">
        <v>3</v>
      </c>
      <c r="V19" s="3">
        <v>3</v>
      </c>
      <c r="W19" s="3">
        <v>2</v>
      </c>
      <c r="X19" s="3">
        <v>3</v>
      </c>
      <c r="Y19" s="3">
        <v>2</v>
      </c>
      <c r="Z19" s="3">
        <v>4</v>
      </c>
      <c r="AA19" s="3">
        <v>3</v>
      </c>
      <c r="AB19" s="3">
        <v>2</v>
      </c>
      <c r="AC19" s="3">
        <v>4</v>
      </c>
      <c r="AD19" s="3">
        <v>3</v>
      </c>
      <c r="AE19" s="3">
        <v>4</v>
      </c>
      <c r="AF19" s="3">
        <v>2</v>
      </c>
      <c r="AG19" s="3">
        <v>3</v>
      </c>
      <c r="AH19" s="3">
        <v>3</v>
      </c>
    </row>
    <row r="20" spans="1:34" x14ac:dyDescent="0.25">
      <c r="A20" t="s">
        <v>177</v>
      </c>
      <c r="B20" s="3">
        <v>2</v>
      </c>
      <c r="C20" s="3">
        <v>3</v>
      </c>
      <c r="D20" s="3">
        <v>3</v>
      </c>
      <c r="E20" s="3">
        <v>4</v>
      </c>
      <c r="F20" s="3">
        <v>3</v>
      </c>
      <c r="G20" s="3">
        <v>4</v>
      </c>
      <c r="H20" s="3">
        <v>3</v>
      </c>
      <c r="I20" s="3">
        <v>3</v>
      </c>
      <c r="J20" s="3">
        <v>2</v>
      </c>
      <c r="K20" s="3">
        <v>3</v>
      </c>
      <c r="L20" s="3">
        <v>5</v>
      </c>
      <c r="M20" s="3">
        <v>3</v>
      </c>
      <c r="N20" s="3">
        <v>3</v>
      </c>
      <c r="O20" s="3">
        <v>4</v>
      </c>
      <c r="P20" s="3">
        <v>3</v>
      </c>
      <c r="Q20" s="3">
        <v>3</v>
      </c>
      <c r="R20" s="3">
        <v>4</v>
      </c>
      <c r="S20" s="3">
        <v>3</v>
      </c>
      <c r="T20" s="3">
        <v>4</v>
      </c>
      <c r="U20" s="3">
        <v>3</v>
      </c>
      <c r="V20" s="3">
        <v>3</v>
      </c>
      <c r="W20" s="3">
        <v>4</v>
      </c>
      <c r="X20" s="3">
        <v>3</v>
      </c>
      <c r="Y20" s="3">
        <v>3</v>
      </c>
      <c r="Z20" s="3">
        <v>5</v>
      </c>
      <c r="AA20" s="3">
        <v>2</v>
      </c>
      <c r="AB20" s="3">
        <v>2</v>
      </c>
      <c r="AC20" s="3">
        <v>2</v>
      </c>
      <c r="AD20" s="3">
        <v>2</v>
      </c>
      <c r="AE20" s="3">
        <v>3</v>
      </c>
      <c r="AF20" s="3">
        <v>3</v>
      </c>
      <c r="AG20" s="3">
        <v>3</v>
      </c>
      <c r="AH20" s="3">
        <v>2</v>
      </c>
    </row>
    <row r="21" spans="1:34" x14ac:dyDescent="0.25">
      <c r="A21" t="s">
        <v>80</v>
      </c>
      <c r="B21" s="3">
        <v>2</v>
      </c>
      <c r="C21" s="3">
        <v>3</v>
      </c>
      <c r="D21" s="3">
        <v>3</v>
      </c>
      <c r="E21" s="3">
        <v>3</v>
      </c>
      <c r="F21" s="3">
        <v>3</v>
      </c>
      <c r="G21" s="3">
        <v>4</v>
      </c>
      <c r="H21" s="3">
        <v>4</v>
      </c>
      <c r="I21" s="3">
        <v>4</v>
      </c>
      <c r="J21" s="3">
        <v>3</v>
      </c>
      <c r="K21" s="3">
        <v>2</v>
      </c>
      <c r="L21" s="3">
        <v>3</v>
      </c>
      <c r="M21" s="3">
        <v>4</v>
      </c>
      <c r="N21" s="3">
        <v>3</v>
      </c>
      <c r="O21" s="3">
        <v>4</v>
      </c>
      <c r="P21" s="3">
        <v>4</v>
      </c>
      <c r="Q21" s="3">
        <v>2</v>
      </c>
      <c r="R21" s="3">
        <v>5</v>
      </c>
      <c r="S21" s="3">
        <v>3</v>
      </c>
      <c r="T21" s="3">
        <v>3</v>
      </c>
      <c r="U21" s="3">
        <v>4</v>
      </c>
      <c r="V21" s="3">
        <v>5</v>
      </c>
      <c r="W21" s="3">
        <v>3</v>
      </c>
      <c r="X21" s="3">
        <v>3</v>
      </c>
      <c r="Y21" s="3">
        <v>3</v>
      </c>
      <c r="Z21" s="3">
        <v>3</v>
      </c>
      <c r="AA21" s="3">
        <v>4</v>
      </c>
      <c r="AB21" s="3">
        <v>2</v>
      </c>
      <c r="AC21" s="3">
        <v>2</v>
      </c>
      <c r="AD21" s="3">
        <v>3</v>
      </c>
      <c r="AE21" s="3">
        <v>2</v>
      </c>
      <c r="AF21" s="3">
        <v>3</v>
      </c>
      <c r="AG21" s="3">
        <v>2</v>
      </c>
      <c r="AH21" s="3">
        <v>2</v>
      </c>
    </row>
    <row r="22" spans="1:34" x14ac:dyDescent="0.25">
      <c r="A22" t="s">
        <v>170</v>
      </c>
      <c r="B22" s="3">
        <v>3</v>
      </c>
      <c r="C22" s="3">
        <v>4</v>
      </c>
      <c r="D22" s="3">
        <v>2</v>
      </c>
      <c r="E22" s="3">
        <v>3</v>
      </c>
      <c r="F22" s="3">
        <v>4</v>
      </c>
      <c r="G22" s="3">
        <v>3</v>
      </c>
      <c r="H22" s="3">
        <v>4</v>
      </c>
      <c r="I22" s="3">
        <v>2</v>
      </c>
      <c r="J22" s="3">
        <v>3</v>
      </c>
      <c r="K22" s="3">
        <v>3</v>
      </c>
      <c r="L22" s="3">
        <v>3</v>
      </c>
      <c r="M22" s="3">
        <v>4</v>
      </c>
      <c r="N22" s="3">
        <v>3</v>
      </c>
      <c r="O22" s="3">
        <v>2</v>
      </c>
      <c r="P22" s="3">
        <v>2</v>
      </c>
      <c r="Q22" s="3">
        <v>5</v>
      </c>
      <c r="R22" s="3">
        <v>3</v>
      </c>
      <c r="S22" s="3">
        <v>4</v>
      </c>
      <c r="T22" s="3">
        <v>3</v>
      </c>
      <c r="U22" s="3">
        <v>3</v>
      </c>
      <c r="V22" s="3">
        <v>4</v>
      </c>
      <c r="W22" s="3">
        <v>3</v>
      </c>
      <c r="X22" s="3">
        <v>3</v>
      </c>
      <c r="Y22" s="3">
        <v>3</v>
      </c>
      <c r="Z22" s="3">
        <v>3</v>
      </c>
      <c r="AA22" s="3">
        <v>3</v>
      </c>
      <c r="AB22" s="3">
        <v>4</v>
      </c>
      <c r="AC22" s="3">
        <v>3</v>
      </c>
      <c r="AD22" s="3">
        <v>4</v>
      </c>
      <c r="AE22" s="3">
        <v>2</v>
      </c>
      <c r="AF22" s="3">
        <v>5</v>
      </c>
      <c r="AG22" s="3">
        <v>2</v>
      </c>
      <c r="AH22" s="3">
        <v>2</v>
      </c>
    </row>
    <row r="23" spans="1:34" x14ac:dyDescent="0.25">
      <c r="A23" t="s">
        <v>165</v>
      </c>
      <c r="B23" s="3">
        <v>3</v>
      </c>
      <c r="C23" s="3">
        <v>3</v>
      </c>
      <c r="D23" s="3">
        <v>3</v>
      </c>
      <c r="E23" s="3">
        <v>2</v>
      </c>
      <c r="F23" s="3">
        <v>4</v>
      </c>
      <c r="G23" s="3">
        <v>3</v>
      </c>
      <c r="H23" s="3">
        <v>2</v>
      </c>
      <c r="I23" s="3">
        <v>4</v>
      </c>
      <c r="J23" s="3">
        <v>3</v>
      </c>
      <c r="K23" s="3">
        <v>3</v>
      </c>
      <c r="L23" s="3">
        <v>2</v>
      </c>
      <c r="M23" s="3">
        <v>3</v>
      </c>
      <c r="N23" s="3">
        <v>4</v>
      </c>
      <c r="O23" s="3">
        <v>2</v>
      </c>
      <c r="P23" s="3">
        <v>4</v>
      </c>
      <c r="Q23" s="3">
        <v>4</v>
      </c>
      <c r="R23" s="3">
        <v>2</v>
      </c>
      <c r="S23" s="3">
        <v>3</v>
      </c>
      <c r="T23" s="3">
        <v>3</v>
      </c>
      <c r="U23" s="3">
        <v>2</v>
      </c>
      <c r="V23" s="3">
        <v>3</v>
      </c>
      <c r="W23" s="3">
        <v>3</v>
      </c>
      <c r="X23" s="3">
        <v>4</v>
      </c>
      <c r="Y23" s="3">
        <v>3</v>
      </c>
      <c r="Z23" s="3">
        <v>5</v>
      </c>
      <c r="AA23" s="3">
        <v>2</v>
      </c>
      <c r="AB23" s="3">
        <v>3</v>
      </c>
      <c r="AC23" s="3">
        <v>3</v>
      </c>
      <c r="AD23" s="3">
        <v>3</v>
      </c>
      <c r="AE23" s="3">
        <v>4</v>
      </c>
      <c r="AF23" s="3">
        <v>3</v>
      </c>
      <c r="AG23" s="3">
        <v>3</v>
      </c>
      <c r="AH23" s="3">
        <v>4</v>
      </c>
    </row>
    <row r="24" spans="1:34" x14ac:dyDescent="0.25">
      <c r="A24" t="s">
        <v>122</v>
      </c>
      <c r="B24" s="3">
        <v>4</v>
      </c>
      <c r="C24" s="3">
        <v>2</v>
      </c>
      <c r="D24" s="3">
        <v>4</v>
      </c>
      <c r="E24" s="3">
        <v>2</v>
      </c>
      <c r="F24" s="3">
        <v>3</v>
      </c>
      <c r="G24" s="3">
        <v>2</v>
      </c>
      <c r="H24" s="3">
        <v>3</v>
      </c>
      <c r="I24" s="3">
        <v>2</v>
      </c>
      <c r="J24" s="3">
        <v>4</v>
      </c>
      <c r="K24" s="3">
        <v>2</v>
      </c>
      <c r="L24" s="3">
        <v>4</v>
      </c>
      <c r="M24" s="3">
        <v>3</v>
      </c>
      <c r="N24" s="3">
        <v>3</v>
      </c>
      <c r="O24" s="3">
        <v>5</v>
      </c>
      <c r="P24" s="3">
        <v>3</v>
      </c>
      <c r="Q24" s="3">
        <v>3</v>
      </c>
      <c r="R24" s="3">
        <v>3</v>
      </c>
      <c r="S24" s="3">
        <v>3</v>
      </c>
      <c r="T24" s="3">
        <v>2</v>
      </c>
      <c r="U24" s="3">
        <v>4</v>
      </c>
      <c r="V24" s="3">
        <v>4</v>
      </c>
      <c r="W24" s="3">
        <v>4</v>
      </c>
      <c r="X24" s="3">
        <v>3</v>
      </c>
      <c r="Y24" s="3">
        <v>3</v>
      </c>
      <c r="Z24" s="3">
        <v>3</v>
      </c>
      <c r="AA24" s="3">
        <v>3</v>
      </c>
      <c r="AB24" s="3">
        <v>3</v>
      </c>
      <c r="AC24" s="3">
        <v>2</v>
      </c>
      <c r="AD24" s="3">
        <v>5</v>
      </c>
      <c r="AE24" s="3">
        <v>4</v>
      </c>
      <c r="AF24" s="3">
        <v>2</v>
      </c>
      <c r="AG24" s="3">
        <v>4</v>
      </c>
      <c r="AH24" s="3">
        <v>3</v>
      </c>
    </row>
  </sheetData>
  <conditionalFormatting pivot="1" sqref="B5:AH24">
    <cfRule type="colorScale" priority="1">
      <colorScale>
        <cfvo type="num" val="1"/>
        <cfvo type="num" val="3"/>
        <cfvo type="num" val="5"/>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92629-D55F-4659-8257-7770A5EE0415}">
  <dimension ref="A1:K2"/>
  <sheetViews>
    <sheetView workbookViewId="0">
      <selection activeCell="B5" sqref="B5"/>
    </sheetView>
  </sheetViews>
  <sheetFormatPr defaultRowHeight="15" x14ac:dyDescent="0.25"/>
  <cols>
    <col min="3" max="3" width="22.28515625" customWidth="1"/>
    <col min="9" max="9" width="13.5703125" customWidth="1"/>
  </cols>
  <sheetData>
    <row r="1" spans="1:11" x14ac:dyDescent="0.25">
      <c r="A1" t="s">
        <v>569</v>
      </c>
      <c r="C1" t="str" cm="1">
        <f t="array" ref="C1:J2">IFERROR(_xlfn.LET(
    _xlpm.names,   _xlfn._xlws.FILTER($A$2:$A$31, $A$2:$A$31&lt;&gt;""),
    _xlpm.club,    _xlfn.XLOOKUP(_xlpm.names, Players[web_name], Players[team_name],         "—"),
    _xlpm.pos,     _xlfn.XLOOKUP(_xlpm.names, Players[web_name], Players[position_short],    "—"),
    _xlpm.price,   _xlfn.XLOOKUP(_xlpm.names, Players[web_name], Players[price_m],            0),
    _xlpm.points,  _xlfn.XLOOKUP(_xlpm.names, Players[web_name], Players[points],             0),
    _xlpm.ppm,     _xlfn.XLOOKUP(_xlpm.names, Players[web_name], Players[points_per_million], 0),
    _xlpm.mins,    _xlfn.XLOOKUP(_xlpm.names, Players[web_name], Players[minutes],            0),
    _xlpm.games,   _xlfn.XLOOKUP(_xlpm.names, Players[web_name], Players[fixtures],           0),
    _xlpm.share,   IFERROR(_xlpm.mins / (90 * _xlpm.games), 0),
    _xlpm.fdr,     _xlfn.BYROW(_xlpm.club, _xlfn.LAMBDA(_xlpm.c,
                 IFERROR(AVERAGEIFS(Fixtures[difficulty],
                                    Fixtures[team_name], _xlpm.c), 0))),
    _xlpm.verdict, _xlfn.MAP(_xlpm.ppm, _xlpm.share, _xlpm.fdr, _xlfn.LAMBDA(_xlpm.v,_xlpm.s,_xlpm.f,
                 _xlfn.IFS((_xlpm.v&gt;=4)*(_xlpm.s&gt;=0.7)*(_xlpm.f&lt;=3), "Strong",
                     (_xlpm.s&lt;0.4)+(_xlpm.f&gt;=4),         "Avoid",
                     TRUE,                   "Watch"))),
    _xlpm.header,  {"Club","Pos","Price","Points","Pts/£m","Mins share","Next 5 FDR","Verdict"},
    _xlpm.body,    _xlfn.HSTACK(_xlpm.club, _xlpm.pos, _xlpm.price, _xlpm.points, _xlpm.ppm, _xlpm.share, _xlpm.fdr, _xlpm.verdict),
    _xlfn.VSTACK(_xlpm.header, _xlpm.body)
), "Add player names in column A")</f>
        <v>Club</v>
      </c>
      <c r="D1" t="str">
        <v>Pos</v>
      </c>
      <c r="E1" t="str">
        <v>Price</v>
      </c>
      <c r="F1" t="str">
        <v>Points</v>
      </c>
      <c r="G1" t="str">
        <v>Pts/£m</v>
      </c>
      <c r="H1" t="str">
        <v>Mins share</v>
      </c>
      <c r="I1" t="str">
        <v>Next 5 FDR</v>
      </c>
      <c r="J1" t="str">
        <v>Verdict</v>
      </c>
      <c r="K1" s="10"/>
    </row>
    <row r="2" spans="1:11" x14ac:dyDescent="0.25">
      <c r="A2" t="s">
        <v>572</v>
      </c>
      <c r="C2" t="str">
        <v>—</v>
      </c>
      <c r="D2" t="str">
        <v>—</v>
      </c>
      <c r="E2" s="6">
        <v>0</v>
      </c>
      <c r="F2" s="3">
        <v>0</v>
      </c>
      <c r="G2" s="4">
        <v>0</v>
      </c>
      <c r="H2" s="12">
        <v>0</v>
      </c>
      <c r="I2" s="11">
        <v>0</v>
      </c>
      <c r="J2" t="str">
        <v>Avoid</v>
      </c>
    </row>
  </sheetData>
  <conditionalFormatting sqref="G2:G31">
    <cfRule type="dataBar" priority="4">
      <dataBar>
        <cfvo type="min"/>
        <cfvo type="max"/>
        <color rgb="FF63C384"/>
      </dataBar>
      <extLst>
        <ext xmlns:x14="http://schemas.microsoft.com/office/spreadsheetml/2009/9/main" uri="{B025F937-C7B1-47D3-B67F-A62EFF666E3E}">
          <x14:id>{60CF0AF6-330A-46DC-AEEA-43E30C972271}</x14:id>
        </ext>
      </extLst>
    </cfRule>
  </conditionalFormatting>
  <conditionalFormatting sqref="J2:J31">
    <cfRule type="containsText" dxfId="24" priority="3" operator="containsText" text="&quot;Strong&quot;">
      <formula>NOT(ISERROR(SEARCH("""Strong""",J2)))</formula>
    </cfRule>
    <cfRule type="containsText" dxfId="23" priority="2" operator="containsText" text="&quot;Avoid&quot;">
      <formula>NOT(ISERROR(SEARCH("""Avoid""",J2)))</formula>
    </cfRule>
  </conditionalFormatting>
  <conditionalFormatting sqref="I2:I31">
    <cfRule type="colorScale" priority="1">
      <colorScale>
        <cfvo type="num" val="2"/>
        <cfvo type="num" val="3"/>
        <cfvo type="num" val="4"/>
        <color rgb="FFF8696B"/>
        <color rgb="FFFFEB84"/>
        <color rgb="FF63BE7B"/>
      </colorScale>
    </cfRule>
  </conditionalFormatting>
  <dataValidations count="1">
    <dataValidation type="list" allowBlank="1" showInputMessage="1" showErrorMessage="1" errorTitle="Not in the player list" sqref="A2:A31" xr:uid="{95F8C553-E429-45A6-AFBE-A928EBD5FBEE}">
      <formula1>"Players[web_name]"</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0CF0AF6-330A-46DC-AEEA-43E30C972271}">
            <x14:dataBar minLength="0" maxLength="100" border="1" negativeBarBorderColorSameAsPositive="0">
              <x14:cfvo type="autoMin"/>
              <x14:cfvo type="autoMax"/>
              <x14:borderColor rgb="FF63C384"/>
              <x14:negativeFillColor rgb="FFFF0000"/>
              <x14:negativeBorderColor rgb="FFFF0000"/>
              <x14:axisColor rgb="FF000000"/>
            </x14:dataBar>
          </x14:cfRule>
          <xm:sqref>G2:G31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9053BF6-D508-47B9-B04F-99813FD97C0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Refresh</vt:lpstr>
      <vt:lpstr>Fixtures</vt:lpstr>
      <vt:lpstr>Players</vt:lpstr>
      <vt:lpstr>Briefing</vt:lpstr>
      <vt:lpstr>Fixture Ticker</vt:lpstr>
      <vt:lpstr>Watchlist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Punit Singh</dc:creator>
  <cp:lastModifiedBy>Punit Singh</cp:lastModifiedBy>
  <dcterms:created xsi:type="dcterms:W3CDTF">2026-09-25T22:20:32Z</dcterms:created>
  <dcterms:modified xsi:type="dcterms:W3CDTF">2026-09-27T12:17:49Z</dcterms:modified>
</cp:coreProperties>
</file>