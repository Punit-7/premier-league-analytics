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PunitPrep\Projects\premier-league-analytics\analytics\excel\"/>
    </mc:Choice>
  </mc:AlternateContent>
  <xr:revisionPtr revIDLastSave="0" documentId="8_{9E0B8132-2D03-448E-A4A0-0A94058A5023}" xr6:coauthVersionLast="47" xr6:coauthVersionMax="47" xr10:uidLastSave="{00000000-0000-0000-0000-000000000000}"/>
  <bookViews>
    <workbookView xWindow="-120" yWindow="-120" windowWidth="29040" windowHeight="16440" xr2:uid="{E121E948-16AF-4D5D-BF17-4257D3C5D354}"/>
  </bookViews>
  <sheets>
    <sheet name="README" sheetId="14" r:id="rId1"/>
    <sheet name="Briefing" sheetId="1" r:id="rId2"/>
    <sheet name="Fixture Ticker" sheetId="11" r:id="rId3"/>
    <sheet name="Watchlist" sheetId="12" r:id="rId4"/>
    <sheet name="Data" sheetId="8" state="hidden" r:id="rId5"/>
    <sheet name="Refresh" sheetId="10" state="hidden" r:id="rId6"/>
  </sheets>
  <definedNames>
    <definedName name="_xlcn.WorksheetConnection_pl_Excel_report.xlsxPlayers" hidden="1">Players[]</definedName>
    <definedName name="_xlcn.WorksheetConnection_pl_Excel_report1.xlsxFixtures" hidden="1">Fixtures[]</definedName>
    <definedName name="ExternalData_2" localSheetId="4" hidden="1">Data!$A$1:$U$244</definedName>
    <definedName name="ExternalData_3" localSheetId="4" hidden="1">Data!$A$249:$F$909</definedName>
    <definedName name="ExternalData_3" localSheetId="5" hidden="1">'Refresh'!$A$1:$F$2</definedName>
    <definedName name="Slicer_price_band">#N/A</definedName>
  </definedNames>
  <calcPr calcId="191029"/>
  <pivotCaches>
    <pivotCache cacheId="0" r:id="rId7"/>
    <pivotCache cacheId="1" r:id="rId8"/>
  </pivotCaches>
  <extLst>
    <ext xmlns:x14="http://schemas.microsoft.com/office/spreadsheetml/2009/9/main" uri="{876F7934-8845-4945-9796-88D515C7AA90}">
      <x14:pivotCaches>
        <pivotCache cacheId="2"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xtures_be18303d-3b21-46dd-969f-bec134e60c0c" name="Fixtures" connection="Query - Fixtures"/>
          <x15:modelTable id="Players_3cd40958-c78b-47bd-a1b8-d9b5751af19a" name="Players" connection="Query - Players"/>
          <x15:modelTable id="Players 1" name="Players 1" connection="WorksheetConnection_pl_Excel_report.xlsx!Players"/>
          <x15:modelTable id="Fixtures 1" name="Fixtures 1" connection="WorksheetConnection_pl_Excel_report (1).xlsx!Fixtur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 i="12" l="1" a="1"/>
  <c r="C1" i="12" s="1"/>
  <c r="A4" i="11" a="1"/>
  <c r="A4" i="11" s="1"/>
  <c r="J2" i="1" a="1"/>
  <c r="J2" i="1" s="1"/>
  <c r="H16" i="1"/>
  <c r="H17" i="1"/>
  <c r="H18" i="1"/>
  <c r="H19" i="1"/>
  <c r="H20" i="1"/>
  <c r="H21" i="1"/>
  <c r="H22" i="1"/>
  <c r="H23" i="1"/>
  <c r="H24" i="1"/>
  <c r="H15" i="1"/>
  <c r="I16" i="1"/>
  <c r="I17" i="1"/>
  <c r="I18" i="1"/>
  <c r="I19" i="1"/>
  <c r="I20" i="1"/>
  <c r="I21" i="1"/>
  <c r="I22" i="1"/>
  <c r="I23" i="1"/>
  <c r="I24" i="1"/>
  <c r="I15" i="1"/>
  <c r="A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7D13D8-C7D5-4EB2-8217-BD83B62972CE}" keepAlive="1" name="ModelConnection_ExternalData_2" description="Data Model" type="5" refreshedVersion="8" minRefreshableVersion="5" saveData="1">
    <dbPr connection="Data Model Connection" command="Players" commandType="3"/>
    <extLst>
      <ext xmlns:x15="http://schemas.microsoft.com/office/spreadsheetml/2010/11/main" uri="{DE250136-89BD-433C-8126-D09CA5730AF9}">
        <x15:connection id="" model="1"/>
      </ext>
    </extLst>
  </connection>
  <connection id="2" xr16:uid="{D5258B13-BFD1-442A-9E41-8C3FDDCF34AB}" keepAlive="1" name="ModelConnection_ExternalData_3" description="Data Model" type="5" refreshedVersion="8" minRefreshableVersion="5" saveData="1">
    <dbPr connection="Data Model Connection" command="Fixtures" commandType="3"/>
    <extLst>
      <ext xmlns:x15="http://schemas.microsoft.com/office/spreadsheetml/2010/11/main" uri="{DE250136-89BD-433C-8126-D09CA5730AF9}">
        <x15:connection id="" model="1"/>
      </ext>
    </extLst>
  </connection>
  <connection id="3" xr16:uid="{F934D671-3BD9-4BC7-B83C-FE3A38641911}" keepAlive="1" name="Query - DataPath" description="Connection to the 'DataPath' query in the workbook." type="5" refreshedVersion="0" background="1">
    <dbPr connection="Provider=Microsoft.Mashup.OleDb.1;Data Source=$Workbook$;Location=DataPath;Extended Properties=&quot;&quot;" command="SELECT * FROM [DataPath]"/>
  </connection>
  <connection id="4" xr16:uid="{F5DE8FBD-A994-4768-B9C8-D527BCD46451}" name="Query - Fixtures" description="Connection to the 'Fixtures' query in the workbook." type="100" refreshedVersion="8" minRefreshableVersion="5">
    <extLst>
      <ext xmlns:x15="http://schemas.microsoft.com/office/spreadsheetml/2010/11/main" uri="{DE250136-89BD-433C-8126-D09CA5730AF9}">
        <x15:connection id="3e6cc403-bc97-46b2-84b5-1560b8a32a00"/>
      </ext>
    </extLst>
  </connection>
  <connection id="5" xr16:uid="{73E7CC4F-6969-4151-87CA-14F1588E559E}" name="Query - Players" description="Connection to the 'Players' query in the workbook." type="100" refreshedVersion="8" minRefreshableVersion="5">
    <extLst>
      <ext xmlns:x15="http://schemas.microsoft.com/office/spreadsheetml/2010/11/main" uri="{DE250136-89BD-433C-8126-D09CA5730AF9}">
        <x15:connection id="a856f0b4-a2ee-4718-91a5-fd17304797ea">
          <x15:oledbPr connection="Provider=Microsoft.Mashup.OleDb.1;Data Source=$Workbook$;Location=Players;Extended Properties=&quot;&quot;">
            <x15:dbTables>
              <x15:dbTable name="Players"/>
            </x15:dbTables>
          </x15:oledbPr>
        </x15:connection>
      </ext>
    </extLst>
  </connection>
  <connection id="6" xr16:uid="{C99ED616-A780-4440-BBD0-5DFAE0B91835}" keepAlive="1" name="Query - Refresh" description="Connection to the 'Refresh' query in the workbook." type="5" refreshedVersion="8" background="1" saveData="1">
    <dbPr connection="Provider=Microsoft.Mashup.OleDb.1;Data Source=$Workbook$;Location=Refresh;Extended Properties=&quot;&quot;" command="SELECT * FROM [Refresh]"/>
  </connection>
  <connection id="7" xr16:uid="{7B2407FA-231F-4BE7-92DE-FCC9C06234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9C764A57-D747-4E23-8BC0-75E8FAEA8A7E}" name="WorksheetConnection_pl_Excel_report (1).xlsx!Fixtures" type="102" refreshedVersion="8" minRefreshableVersion="5">
    <extLst>
      <ext xmlns:x15="http://schemas.microsoft.com/office/spreadsheetml/2010/11/main" uri="{DE250136-89BD-433C-8126-D09CA5730AF9}">
        <x15:connection id="Fixtures 1">
          <x15:rangePr sourceName="_xlcn.WorksheetConnection_pl_Excel_report1.xlsxFixtures"/>
        </x15:connection>
      </ext>
    </extLst>
  </connection>
  <connection id="9" xr16:uid="{4C5172E4-7CDA-41F4-A58D-9C460DF53EF2}" name="WorksheetConnection_pl_Excel_report.xlsx!Players" type="102" refreshedVersion="8" minRefreshableVersion="5">
    <extLst>
      <ext xmlns:x15="http://schemas.microsoft.com/office/spreadsheetml/2010/11/main" uri="{DE250136-89BD-433C-8126-D09CA5730AF9}">
        <x15:connection id="Players 1">
          <x15:rangePr sourceName="_xlcn.WorksheetConnection_pl_Excel_report.xlsxPlayers"/>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Players].[position_short].[All]}"/>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<sst xmlns="http://schemas.openxmlformats.org/spreadsheetml/2006/main" count="5888" uniqueCount="634">
  <si>
    <t>player_id</t>
  </si>
  <si>
    <t>web_name</t>
  </si>
  <si>
    <t>full_name</t>
  </si>
  <si>
    <t>price_m</t>
  </si>
  <si>
    <t>selected_by_percent</t>
  </si>
  <si>
    <t>status</t>
  </si>
  <si>
    <t>team_name</t>
  </si>
  <si>
    <t>position_short</t>
  </si>
  <si>
    <t>position_name</t>
  </si>
  <si>
    <t>fixtures</t>
  </si>
  <si>
    <t>appearances</t>
  </si>
  <si>
    <t>minutes</t>
  </si>
  <si>
    <t>points</t>
  </si>
  <si>
    <t>goals</t>
  </si>
  <si>
    <t>assists</t>
  </si>
  <si>
    <t>clean_sheets</t>
  </si>
  <si>
    <t>bonus</t>
  </si>
  <si>
    <t>points_per_million</t>
  </si>
  <si>
    <t>price_band</t>
  </si>
  <si>
    <t>Bogle</t>
  </si>
  <si>
    <t>Jayden Bogle</t>
  </si>
  <si>
    <t>a</t>
  </si>
  <si>
    <t>Leeds United</t>
  </si>
  <si>
    <t>DEF</t>
  </si>
  <si>
    <t>Defender</t>
  </si>
  <si>
    <t>5</t>
  </si>
  <si>
    <t>5.0</t>
  </si>
  <si>
    <t>2.0</t>
  </si>
  <si>
    <t>0.0</t>
  </si>
  <si>
    <t>4.0</t>
  </si>
  <si>
    <t>6.0</t>
  </si>
  <si>
    <t>Under 5.0</t>
  </si>
  <si>
    <t>Groß</t>
  </si>
  <si>
    <t>Pascal Groß</t>
  </si>
  <si>
    <t>Brighton &amp; Hove Albion</t>
  </si>
  <si>
    <t>MID</t>
  </si>
  <si>
    <t>Midfielder</t>
  </si>
  <si>
    <t>3.0</t>
  </si>
  <si>
    <t>9.0</t>
  </si>
  <si>
    <t>5.0 to 6.9</t>
  </si>
  <si>
    <t>De Cuyper</t>
  </si>
  <si>
    <t>Maxim De Cuyper</t>
  </si>
  <si>
    <t>1.0</t>
  </si>
  <si>
    <t>Tzolakis</t>
  </si>
  <si>
    <t>Konstantinos Tzolakis</t>
  </si>
  <si>
    <t>Hull City</t>
  </si>
  <si>
    <t>GKP</t>
  </si>
  <si>
    <t>Goalkeeper</t>
  </si>
  <si>
    <t>Tarkowski</t>
  </si>
  <si>
    <t>James Tarkowski</t>
  </si>
  <si>
    <t>Everton</t>
  </si>
  <si>
    <t>7.0</t>
  </si>
  <si>
    <t>Gvardiol</t>
  </si>
  <si>
    <t>Joško Gvardiol</t>
  </si>
  <si>
    <t>Manchester City</t>
  </si>
  <si>
    <t>Ajayi</t>
  </si>
  <si>
    <t>Semi Ajayi</t>
  </si>
  <si>
    <t>Vuskovic</t>
  </si>
  <si>
    <t>Luka Vušković</t>
  </si>
  <si>
    <t>Egan</t>
  </si>
  <si>
    <t>John Egan</t>
  </si>
  <si>
    <t>Schade</t>
  </si>
  <si>
    <t>Kevin Schade</t>
  </si>
  <si>
    <t>Brentford</t>
  </si>
  <si>
    <t>Davis</t>
  </si>
  <si>
    <t>Leif Davis</t>
  </si>
  <si>
    <t>Ipswich Town</t>
  </si>
  <si>
    <t>Mendy</t>
  </si>
  <si>
    <t>Nobel Mendy</t>
  </si>
  <si>
    <t>Belloumi</t>
  </si>
  <si>
    <t>Mohamed Belloumi</t>
  </si>
  <si>
    <t>Giles</t>
  </si>
  <si>
    <t>Ryan Giles</t>
  </si>
  <si>
    <t>Thomas</t>
  </si>
  <si>
    <t>Bobby Thomas</t>
  </si>
  <si>
    <t>Coventry City</t>
  </si>
  <si>
    <t>Mykolenko</t>
  </si>
  <si>
    <t>Vitalii Mykolenko</t>
  </si>
  <si>
    <t>Hall</t>
  </si>
  <si>
    <t>Lewis Hall</t>
  </si>
  <si>
    <t>Newcastle United</t>
  </si>
  <si>
    <t>Justin</t>
  </si>
  <si>
    <t>James Justin</t>
  </si>
  <si>
    <t>Trafford</t>
  </si>
  <si>
    <t>James Trafford</t>
  </si>
  <si>
    <t>Janelt</t>
  </si>
  <si>
    <t>Vitaly Janelt</t>
  </si>
  <si>
    <t>Muharemović</t>
  </si>
  <si>
    <t>Tarik Muharemović</t>
  </si>
  <si>
    <t>Mitchell</t>
  </si>
  <si>
    <t>Tyrick Mitchell</t>
  </si>
  <si>
    <t>Crystal Palace</t>
  </si>
  <si>
    <t>Verbruggen</t>
  </si>
  <si>
    <t>Bart Verbruggen</t>
  </si>
  <si>
    <t>Tavernier</t>
  </si>
  <si>
    <t>Marcus Tavernier</t>
  </si>
  <si>
    <t>AFC Bournemouth</t>
  </si>
  <si>
    <t>8.0</t>
  </si>
  <si>
    <t>Guéhi</t>
  </si>
  <si>
    <t>Marc Guéhi</t>
  </si>
  <si>
    <t>Kayode</t>
  </si>
  <si>
    <t>Michael Kayode</t>
  </si>
  <si>
    <t>Calafiori</t>
  </si>
  <si>
    <t>Riccardo Calafiori</t>
  </si>
  <si>
    <t>Arsenal</t>
  </si>
  <si>
    <t>Kostoulas</t>
  </si>
  <si>
    <t>Charalampos Kostoulas</t>
  </si>
  <si>
    <t>FWD</t>
  </si>
  <si>
    <t>Forward</t>
  </si>
  <si>
    <t>Dasilva</t>
  </si>
  <si>
    <t>Jay Dasilva</t>
  </si>
  <si>
    <t>Scott</t>
  </si>
  <si>
    <t>Alex Scott</t>
  </si>
  <si>
    <t>Raya</t>
  </si>
  <si>
    <t>David Raya Martín</t>
  </si>
  <si>
    <t>A.Becker</t>
  </si>
  <si>
    <t>Alisson Becker</t>
  </si>
  <si>
    <t>Liverpool</t>
  </si>
  <si>
    <t>Branthwaite</t>
  </si>
  <si>
    <t>Jarrad Branthwaite</t>
  </si>
  <si>
    <t>Van Hecke</t>
  </si>
  <si>
    <t>Jan Paul van Hecke</t>
  </si>
  <si>
    <t>Tottenham Hotspur</t>
  </si>
  <si>
    <t>Dunk</t>
  </si>
  <si>
    <t>Lewis Dunk</t>
  </si>
  <si>
    <t>d</t>
  </si>
  <si>
    <t>Jacquet</t>
  </si>
  <si>
    <t>Jeremy Jacquet</t>
  </si>
  <si>
    <t>Gomez</t>
  </si>
  <si>
    <t>Diego Gómez Amarilla</t>
  </si>
  <si>
    <t>Emersonn</t>
  </si>
  <si>
    <t>Emersonn Correia da Silva</t>
  </si>
  <si>
    <t>Schuster</t>
  </si>
  <si>
    <t>Jannik Schuster</t>
  </si>
  <si>
    <t>Ajer</t>
  </si>
  <si>
    <t>Kristoffer Ajer</t>
  </si>
  <si>
    <t>Barnes</t>
  </si>
  <si>
    <t>Harvey Barnes</t>
  </si>
  <si>
    <t>Pickford</t>
  </si>
  <si>
    <t>Jordan Pickford</t>
  </si>
  <si>
    <t>Stach</t>
  </si>
  <si>
    <t>Anton Stach</t>
  </si>
  <si>
    <t>Yalcouyé</t>
  </si>
  <si>
    <t>Malick Yalcouyé</t>
  </si>
  <si>
    <t>Gakpo</t>
  </si>
  <si>
    <t>Cody Gakpo</t>
  </si>
  <si>
    <t>7.0 to 8.9</t>
  </si>
  <si>
    <t>Castagne</t>
  </si>
  <si>
    <t>Timothy Castagne</t>
  </si>
  <si>
    <t>Fulham</t>
  </si>
  <si>
    <t>Willock</t>
  </si>
  <si>
    <t>Joe Willock</t>
  </si>
  <si>
    <t>Cherki</t>
  </si>
  <si>
    <t>Rayan Cherki</t>
  </si>
  <si>
    <t>King</t>
  </si>
  <si>
    <t>Josh King</t>
  </si>
  <si>
    <t>João Pedro</t>
  </si>
  <si>
    <t>João Pedro Junqueira de Jesus</t>
  </si>
  <si>
    <t>Chelsea</t>
  </si>
  <si>
    <t>Ødegaard</t>
  </si>
  <si>
    <t>Martin Ødegaard</t>
  </si>
  <si>
    <t>Boscagli</t>
  </si>
  <si>
    <t>Olivier Boscagli</t>
  </si>
  <si>
    <t>Brobbey</t>
  </si>
  <si>
    <t>Brian Brobbey</t>
  </si>
  <si>
    <t>Sunderland</t>
  </si>
  <si>
    <t>Kamada</t>
  </si>
  <si>
    <t>Daichi Kamada</t>
  </si>
  <si>
    <t>Murillo</t>
  </si>
  <si>
    <t>Murillo Costa dos Santos</t>
  </si>
  <si>
    <t>Nottingham Forest</t>
  </si>
  <si>
    <t>Araujo</t>
  </si>
  <si>
    <t>Ronald Araujo</t>
  </si>
  <si>
    <t>Kinsky</t>
  </si>
  <si>
    <t>Antonín Kinský</t>
  </si>
  <si>
    <t>Mainoo</t>
  </si>
  <si>
    <t>Kobbie Mainoo</t>
  </si>
  <si>
    <t>Manchester United</t>
  </si>
  <si>
    <t>Leno</t>
  </si>
  <si>
    <t>Bernd Leno</t>
  </si>
  <si>
    <t>Kelleher</t>
  </si>
  <si>
    <t>Caoimhín Kelleher</t>
  </si>
  <si>
    <t>Lewis-Potter</t>
  </si>
  <si>
    <t>Keane Lewis-Potter</t>
  </si>
  <si>
    <t>M.Sangaré</t>
  </si>
  <si>
    <t>Mamadou Sangaré</t>
  </si>
  <si>
    <t>Semenyo</t>
  </si>
  <si>
    <t>Antoine Semenyo</t>
  </si>
  <si>
    <t>Ampadu</t>
  </si>
  <si>
    <t>Ethan Ampadu</t>
  </si>
  <si>
    <t>Robertson</t>
  </si>
  <si>
    <t>Andrew Robertson</t>
  </si>
  <si>
    <t>Virgil</t>
  </si>
  <si>
    <t>Virgil van Dijk</t>
  </si>
  <si>
    <t>White</t>
  </si>
  <si>
    <t>Benjamin White</t>
  </si>
  <si>
    <t>Xhaka</t>
  </si>
  <si>
    <t>Granit Xhaka</t>
  </si>
  <si>
    <t>Khalaili</t>
  </si>
  <si>
    <t>Anan Khalaili</t>
  </si>
  <si>
    <t>N.Williams</t>
  </si>
  <si>
    <t>Neco Williams</t>
  </si>
  <si>
    <t>Ndiaye</t>
  </si>
  <si>
    <t>Iliman Ndiaye</t>
  </si>
  <si>
    <t>Rogers</t>
  </si>
  <si>
    <t>Morgan Rogers</t>
  </si>
  <si>
    <t>Calvert-Lewin</t>
  </si>
  <si>
    <t>Dominic Calvert-Lewin</t>
  </si>
  <si>
    <t>Isak</t>
  </si>
  <si>
    <t>Alexander Isak</t>
  </si>
  <si>
    <t>9.0 to 10.9</t>
  </si>
  <si>
    <t>Barry</t>
  </si>
  <si>
    <t>Thierno Barry</t>
  </si>
  <si>
    <t>Buendía</t>
  </si>
  <si>
    <t>Emiliano Buendía Stati</t>
  </si>
  <si>
    <t>Aston Villa</t>
  </si>
  <si>
    <t>Rushworth</t>
  </si>
  <si>
    <t>Carl Rushworth</t>
  </si>
  <si>
    <t>Coyle</t>
  </si>
  <si>
    <t>Lewie Coyle</t>
  </si>
  <si>
    <t>Gibbs-White</t>
  </si>
  <si>
    <t>Morgan Gibbs-White</t>
  </si>
  <si>
    <t>Donnarumma</t>
  </si>
  <si>
    <t>Gianluigi Donnarumma</t>
  </si>
  <si>
    <t>George</t>
  </si>
  <si>
    <t>Tyrique George</t>
  </si>
  <si>
    <t>Saka</t>
  </si>
  <si>
    <t>Bukayo Saka</t>
  </si>
  <si>
    <t>Bassey</t>
  </si>
  <si>
    <t>Calvin Bassey</t>
  </si>
  <si>
    <t>Slater</t>
  </si>
  <si>
    <t>Regan Slater</t>
  </si>
  <si>
    <t>Cunha</t>
  </si>
  <si>
    <t>Matheus Santos Carneiro da Cunha</t>
  </si>
  <si>
    <t>Van de Ven</t>
  </si>
  <si>
    <t>Micky van de Ven</t>
  </si>
  <si>
    <t>Suzuki</t>
  </si>
  <si>
    <t>Zion Suzuki</t>
  </si>
  <si>
    <t>N.Angulo</t>
  </si>
  <si>
    <t>Nilson Angulo</t>
  </si>
  <si>
    <t>Armstrong</t>
  </si>
  <si>
    <t>Harrison Armstrong</t>
  </si>
  <si>
    <t>E.Le Fée</t>
  </si>
  <si>
    <t>Enzo Le Fée</t>
  </si>
  <si>
    <t>Mbeumo</t>
  </si>
  <si>
    <t>Bryan Mbeumo</t>
  </si>
  <si>
    <t>McGinn</t>
  </si>
  <si>
    <t>John McGinn</t>
  </si>
  <si>
    <t>Gabriel</t>
  </si>
  <si>
    <t>Gabriel dos Santos Magalhães</t>
  </si>
  <si>
    <t>Pinnock</t>
  </si>
  <si>
    <t>Ethan Pinnock</t>
  </si>
  <si>
    <t>Meunier</t>
  </si>
  <si>
    <t>Thomas Meunier</t>
  </si>
  <si>
    <t>Gudmundsson</t>
  </si>
  <si>
    <t>Gabriel Gudmundsson</t>
  </si>
  <si>
    <t>Okafor</t>
  </si>
  <si>
    <t>Noah Okafor</t>
  </si>
  <si>
    <t>Rúben</t>
  </si>
  <si>
    <t>Rúben dos Santos Gato Alves Dias</t>
  </si>
  <si>
    <t>Dewsbury-Hall</t>
  </si>
  <si>
    <t>Kiernan Dewsbury-Hall</t>
  </si>
  <si>
    <t>Kamara</t>
  </si>
  <si>
    <t>Boubacar Kamara</t>
  </si>
  <si>
    <t>Diop</t>
  </si>
  <si>
    <t>Issa Diop</t>
  </si>
  <si>
    <t>Botman</t>
  </si>
  <si>
    <t>Sven Botman</t>
  </si>
  <si>
    <t>Evanilson</t>
  </si>
  <si>
    <t>Francisco Evanilson de Lima Barbosa</t>
  </si>
  <si>
    <t>Damsgaard</t>
  </si>
  <si>
    <t>Mikkel Damsgaard</t>
  </si>
  <si>
    <t>Elanga</t>
  </si>
  <si>
    <t>Anthony Elanga</t>
  </si>
  <si>
    <t>i</t>
  </si>
  <si>
    <t>F.Kadıoğlu</t>
  </si>
  <si>
    <t>Ferdi Kadıoğlu</t>
  </si>
  <si>
    <t>Dedić</t>
  </si>
  <si>
    <t>Amar Dedic</t>
  </si>
  <si>
    <t>Elvedi</t>
  </si>
  <si>
    <t>Nico Elvedi</t>
  </si>
  <si>
    <t>Palmer</t>
  </si>
  <si>
    <t>Cole Palmer</t>
  </si>
  <si>
    <t>Ballard</t>
  </si>
  <si>
    <t>Daniel Ballard</t>
  </si>
  <si>
    <t>Szoboszlai</t>
  </si>
  <si>
    <t>Dominik Szoboszlai</t>
  </si>
  <si>
    <t>Tanaka</t>
  </si>
  <si>
    <t>Tanaka Ao</t>
  </si>
  <si>
    <t>Sels</t>
  </si>
  <si>
    <t>Matz Sels</t>
  </si>
  <si>
    <t>Horníček</t>
  </si>
  <si>
    <t>Lukás Hornícek</t>
  </si>
  <si>
    <t>Richards</t>
  </si>
  <si>
    <t>Chris Richards</t>
  </si>
  <si>
    <t>Thiaw</t>
  </si>
  <si>
    <t>Malick Thiaw</t>
  </si>
  <si>
    <t>Ayari</t>
  </si>
  <si>
    <t>Yasin Ayari</t>
  </si>
  <si>
    <t>Enciso</t>
  </si>
  <si>
    <t>Julio Enciso</t>
  </si>
  <si>
    <t>Ndoye</t>
  </si>
  <si>
    <t>Dan Ndoye</t>
  </si>
  <si>
    <t>Bentancur</t>
  </si>
  <si>
    <t>Rodrigo Bentancur</t>
  </si>
  <si>
    <t>Rice</t>
  </si>
  <si>
    <t>Declan Rice</t>
  </si>
  <si>
    <t>Affengruber</t>
  </si>
  <si>
    <t>David Affengruber</t>
  </si>
  <si>
    <t>3</t>
  </si>
  <si>
    <t>Robinson</t>
  </si>
  <si>
    <t>Antonee Robinson</t>
  </si>
  <si>
    <t>Rudoni</t>
  </si>
  <si>
    <t>Jack Rudoni</t>
  </si>
  <si>
    <t>Tonali</t>
  </si>
  <si>
    <t>Sandro Tonali</t>
  </si>
  <si>
    <t>B.Fernandes</t>
  </si>
  <si>
    <t>Bruno Borges Fernandes</t>
  </si>
  <si>
    <t>11.0 and over</t>
  </si>
  <si>
    <t>Konsa</t>
  </si>
  <si>
    <t>Ezri Konsa Ngoyo</t>
  </si>
  <si>
    <t>Charles</t>
  </si>
  <si>
    <t>Shea Charles</t>
  </si>
  <si>
    <t>Schlager</t>
  </si>
  <si>
    <t>Xaver Schlager</t>
  </si>
  <si>
    <t>Silva</t>
  </si>
  <si>
    <t>António João Pereira de Albuquerque Tavares da Silva</t>
  </si>
  <si>
    <t>Iwobi</t>
  </si>
  <si>
    <t>Alex Iwobi</t>
  </si>
  <si>
    <t>Yeremy</t>
  </si>
  <si>
    <t>Yéremy Pino Santos</t>
  </si>
  <si>
    <t>Tzolis</t>
  </si>
  <si>
    <t>Christos Tzolis</t>
  </si>
  <si>
    <t>Anthony</t>
  </si>
  <si>
    <t>Jaidon Anthony</t>
  </si>
  <si>
    <t>Havertz</t>
  </si>
  <si>
    <t>Kai Havertz</t>
  </si>
  <si>
    <t>Haaland</t>
  </si>
  <si>
    <t>Erling Haaland</t>
  </si>
  <si>
    <t>Kluivert</t>
  </si>
  <si>
    <t>Justin Kluivert</t>
  </si>
  <si>
    <t>O'Shea</t>
  </si>
  <si>
    <t>Dara O'Shea</t>
  </si>
  <si>
    <t>Wirtz</t>
  </si>
  <si>
    <t>Florian Wirtz</t>
  </si>
  <si>
    <t>Jair Cunha</t>
  </si>
  <si>
    <t>Jair Paula da Cunha Filho</t>
  </si>
  <si>
    <t>Wissa</t>
  </si>
  <si>
    <t>Yoane Wissa</t>
  </si>
  <si>
    <t>Tielemans</t>
  </si>
  <si>
    <t>Youri Tielemans</t>
  </si>
  <si>
    <t>Kerkez</t>
  </si>
  <si>
    <t>Milos Kerkez</t>
  </si>
  <si>
    <t>Mukiele</t>
  </si>
  <si>
    <t>Nordi Mukiele</t>
  </si>
  <si>
    <t>Adams</t>
  </si>
  <si>
    <t>Tyler Adams</t>
  </si>
  <si>
    <t>Anderson</t>
  </si>
  <si>
    <t>Elliot Anderson</t>
  </si>
  <si>
    <t>McBurnie</t>
  </si>
  <si>
    <t>Oli McBurnie</t>
  </si>
  <si>
    <t>Bobb</t>
  </si>
  <si>
    <t>Oscar Bobb</t>
  </si>
  <si>
    <t>Gonzalo</t>
  </si>
  <si>
    <t>Gonzalo García</t>
  </si>
  <si>
    <t>Strand Larsen</t>
  </si>
  <si>
    <t>Jørgen Strand Larsen</t>
  </si>
  <si>
    <t>Hume</t>
  </si>
  <si>
    <t>Trai Hume</t>
  </si>
  <si>
    <t>Munoz</t>
  </si>
  <si>
    <t>Victor Munoz</t>
  </si>
  <si>
    <t>Roefs</t>
  </si>
  <si>
    <t>Robin Roefs</t>
  </si>
  <si>
    <t>Lukić</t>
  </si>
  <si>
    <t>Saša Lukić</t>
  </si>
  <si>
    <t>Grimes</t>
  </si>
  <si>
    <t>Matt Grimes</t>
  </si>
  <si>
    <t>Berge</t>
  </si>
  <si>
    <t>Sander Berge</t>
  </si>
  <si>
    <t>Lammens</t>
  </si>
  <si>
    <t>Senne Lammens</t>
  </si>
  <si>
    <t>Mings</t>
  </si>
  <si>
    <t>Tyrone Mings</t>
  </si>
  <si>
    <t>Wharton</t>
  </si>
  <si>
    <t>Adam Wharton</t>
  </si>
  <si>
    <t>Milenković</t>
  </si>
  <si>
    <t>Nikola Milenković</t>
  </si>
  <si>
    <t>Palacios</t>
  </si>
  <si>
    <t>César Palacios</t>
  </si>
  <si>
    <t>Lacroix</t>
  </si>
  <si>
    <t>Maxence Lacroix</t>
  </si>
  <si>
    <t>Exequiel Palacios</t>
  </si>
  <si>
    <t>4</t>
  </si>
  <si>
    <t>Lavia</t>
  </si>
  <si>
    <t>Roméo Lavia</t>
  </si>
  <si>
    <t>L.Miley</t>
  </si>
  <si>
    <t>Lewis Miley</t>
  </si>
  <si>
    <t>McAtee</t>
  </si>
  <si>
    <t>James McAtee</t>
  </si>
  <si>
    <t>Hill</t>
  </si>
  <si>
    <t>James Hill</t>
  </si>
  <si>
    <t>Neto</t>
  </si>
  <si>
    <t>Pedro Lomba Neto</t>
  </si>
  <si>
    <t>Shaw</t>
  </si>
  <si>
    <t>Luke Shaw</t>
  </si>
  <si>
    <t>Maguire</t>
  </si>
  <si>
    <t>Harry Maguire</t>
  </si>
  <si>
    <t>Canvot</t>
  </si>
  <si>
    <t>Jaydee Canvot</t>
  </si>
  <si>
    <t>Igor Jesus</t>
  </si>
  <si>
    <t>Igor Jesus Maciel da Cruz</t>
  </si>
  <si>
    <t>Maatsen</t>
  </si>
  <si>
    <t>Ian Maatsen</t>
  </si>
  <si>
    <t>Mac Allister</t>
  </si>
  <si>
    <t>Alexis Mac Allister</t>
  </si>
  <si>
    <t>Sadiki</t>
  </si>
  <si>
    <t>Noah Sadiki</t>
  </si>
  <si>
    <t>Petrović</t>
  </si>
  <si>
    <t>Đorđe Petrović</t>
  </si>
  <si>
    <t>Barkley</t>
  </si>
  <si>
    <t>Ross Barkley</t>
  </si>
  <si>
    <t>George Hemmings</t>
  </si>
  <si>
    <t>Enzo</t>
  </si>
  <si>
    <t>Enzo Fernández</t>
  </si>
  <si>
    <t>Yarmoliuk</t>
  </si>
  <si>
    <t>Yehor Yarmoliuk</t>
  </si>
  <si>
    <t>Yirenkyi</t>
  </si>
  <si>
    <t>Caleb Yirenkyi</t>
  </si>
  <si>
    <t>Matheus N.</t>
  </si>
  <si>
    <t>Matheus Nunes</t>
  </si>
  <si>
    <t>Truffert</t>
  </si>
  <si>
    <t>Adrien Truffert</t>
  </si>
  <si>
    <t>Collins</t>
  </si>
  <si>
    <t>Nathan Collins</t>
  </si>
  <si>
    <t>Gray</t>
  </si>
  <si>
    <t>Archie Gray</t>
  </si>
  <si>
    <t>Onyeka</t>
  </si>
  <si>
    <t>Frank Onyeka</t>
  </si>
  <si>
    <t>Garner</t>
  </si>
  <si>
    <t>James Garner</t>
  </si>
  <si>
    <t>Aina</t>
  </si>
  <si>
    <t>Ola Aina</t>
  </si>
  <si>
    <t>Thomas-Asante</t>
  </si>
  <si>
    <t>Brandon Thomas-Asante</t>
  </si>
  <si>
    <t>Timber</t>
  </si>
  <si>
    <t>Quinten Timber</t>
  </si>
  <si>
    <t>Martinez</t>
  </si>
  <si>
    <t>Emiliano Martínez Romero</t>
  </si>
  <si>
    <t>Hato</t>
  </si>
  <si>
    <t>Jorrel Hato</t>
  </si>
  <si>
    <t>Lindelöf</t>
  </si>
  <si>
    <t>Victor Lindelöf</t>
  </si>
  <si>
    <t>Benitez</t>
  </si>
  <si>
    <t>Walter Benítez</t>
  </si>
  <si>
    <t>Lewis-Skelly</t>
  </si>
  <si>
    <t>Myles Lewis-Skelly</t>
  </si>
  <si>
    <t>Pedro Porro</t>
  </si>
  <si>
    <t>Pedro Porro Sauceda</t>
  </si>
  <si>
    <t>Khusanov</t>
  </si>
  <si>
    <t>Abdukodir Khusanov</t>
  </si>
  <si>
    <t>Steur</t>
  </si>
  <si>
    <t>Sean Steur</t>
  </si>
  <si>
    <t>Dalot</t>
  </si>
  <si>
    <t>Diogo Dalot Teixeira</t>
  </si>
  <si>
    <t>Delap</t>
  </si>
  <si>
    <t>Liam Delap</t>
  </si>
  <si>
    <t>Fofana</t>
  </si>
  <si>
    <t>Wesley Fofana</t>
  </si>
  <si>
    <t>Cook</t>
  </si>
  <si>
    <t>Lewis Cook</t>
  </si>
  <si>
    <t>Rayan</t>
  </si>
  <si>
    <t>Rayan Vitor Simplício Rocha</t>
  </si>
  <si>
    <t>Reinildo</t>
  </si>
  <si>
    <t>Reinildo Mandava</t>
  </si>
  <si>
    <t>Scherpen</t>
  </si>
  <si>
    <t>Kjell Scherpen</t>
  </si>
  <si>
    <t>Gravenberch</t>
  </si>
  <si>
    <t>Ryan Gravenberch</t>
  </si>
  <si>
    <t>N.Jackson</t>
  </si>
  <si>
    <t>Nicolas Jackson</t>
  </si>
  <si>
    <t>Johnson</t>
  </si>
  <si>
    <t>Brennan Johnson</t>
  </si>
  <si>
    <t>Maeda</t>
  </si>
  <si>
    <t>Daizen Maeda</t>
  </si>
  <si>
    <t>van Ewijk</t>
  </si>
  <si>
    <t>Milan van Ewijk</t>
  </si>
  <si>
    <t>Fatawu</t>
  </si>
  <si>
    <t>Abdul Fatawu</t>
  </si>
  <si>
    <t>s</t>
  </si>
  <si>
    <t>Rashford</t>
  </si>
  <si>
    <t>Marcus Rashford</t>
  </si>
  <si>
    <t>Tel</t>
  </si>
  <si>
    <t>Mathys Tel</t>
  </si>
  <si>
    <t>Stroud</t>
  </si>
  <si>
    <t>Elliot Stroud</t>
  </si>
  <si>
    <t>Cash</t>
  </si>
  <si>
    <t>Matty Cash</t>
  </si>
  <si>
    <t>Aaronson</t>
  </si>
  <si>
    <t>Brenden Aaronson</t>
  </si>
  <si>
    <t>Foden</t>
  </si>
  <si>
    <t>Phil Foden</t>
  </si>
  <si>
    <t>Thiago</t>
  </si>
  <si>
    <t>Igor Thiago Nascimento Rodrigues</t>
  </si>
  <si>
    <t>Herrington</t>
  </si>
  <si>
    <t>Lucas Herrington</t>
  </si>
  <si>
    <t>Sávio</t>
  </si>
  <si>
    <t>Sávio Moreira de Oliveira</t>
  </si>
  <si>
    <t>Fernandes</t>
  </si>
  <si>
    <t>Mateus Fernandes</t>
  </si>
  <si>
    <t>Röhl</t>
  </si>
  <si>
    <t>Merlin Röhl</t>
  </si>
  <si>
    <t>Lisandro Martínez</t>
  </si>
  <si>
    <t>Marmoush</t>
  </si>
  <si>
    <t>Omar Marmoush</t>
  </si>
  <si>
    <t>Acheampong</t>
  </si>
  <si>
    <t>Josh Acheampong</t>
  </si>
  <si>
    <t>Chavarria</t>
  </si>
  <si>
    <t>Pep Chavarría</t>
  </si>
  <si>
    <t>Amenda</t>
  </si>
  <si>
    <t>Aurèle Amenda</t>
  </si>
  <si>
    <t>Henderson</t>
  </si>
  <si>
    <t>Dean Henderson</t>
  </si>
  <si>
    <t>Mason-Clark</t>
  </si>
  <si>
    <t>Ephron Mason-Clark</t>
  </si>
  <si>
    <t>Tchaouna</t>
  </si>
  <si>
    <t>Loum Tchaouna</t>
  </si>
  <si>
    <t>Muñoz</t>
  </si>
  <si>
    <t>Daniel Muñoz Mejía</t>
  </si>
  <si>
    <t>Smith</t>
  </si>
  <si>
    <t>Adam Smith</t>
  </si>
  <si>
    <t>Gusto</t>
  </si>
  <si>
    <t>Malo Gusto</t>
  </si>
  <si>
    <t>Greaves</t>
  </si>
  <si>
    <t>Jacob Greaves</t>
  </si>
  <si>
    <t>Tomiyasu</t>
  </si>
  <si>
    <t>Takehiro Tomiyasu</t>
  </si>
  <si>
    <t>Crooks</t>
  </si>
  <si>
    <t>Matt Crooks</t>
  </si>
  <si>
    <t>Pau</t>
  </si>
  <si>
    <t>Pau Torres</t>
  </si>
  <si>
    <t>Colwill</t>
  </si>
  <si>
    <t>Levi Samuels Colwill</t>
  </si>
  <si>
    <t>Andersen</t>
  </si>
  <si>
    <t>Joachim Andersen</t>
  </si>
  <si>
    <t>Danso</t>
  </si>
  <si>
    <t>Kevin Danso</t>
  </si>
  <si>
    <t>James</t>
  </si>
  <si>
    <t>Reece James</t>
  </si>
  <si>
    <t>Awoniyi</t>
  </si>
  <si>
    <t>Taiwo Awoniyi</t>
  </si>
  <si>
    <t>J.Murphy</t>
  </si>
  <si>
    <t>Jacob Murphy</t>
  </si>
  <si>
    <t>gameweek_id</t>
  </si>
  <si>
    <t>difficulty</t>
  </si>
  <si>
    <t>venue</t>
  </si>
  <si>
    <t>refreshed_at</t>
  </si>
  <si>
    <t>total_matches</t>
  </si>
  <si>
    <t>live_matches</t>
  </si>
  <si>
    <t>player_fixture_rows</t>
  </si>
  <si>
    <t>latest_gameweek</t>
  </si>
  <si>
    <t>latest_match_date</t>
  </si>
  <si>
    <t>2026-09-20</t>
  </si>
  <si>
    <t>Avg pts/£m</t>
  </si>
  <si>
    <t>Avg price</t>
  </si>
  <si>
    <t>Avg points</t>
  </si>
  <si>
    <t>All</t>
  </si>
  <si>
    <t>Points</t>
  </si>
  <si>
    <t>Price</t>
  </si>
  <si>
    <t>Player</t>
  </si>
  <si>
    <t>A</t>
  </si>
  <si>
    <t>H</t>
  </si>
  <si>
    <t>opponent_name</t>
  </si>
  <si>
    <t>fixture_label</t>
  </si>
  <si>
    <t>SUN (A) 3</t>
  </si>
  <si>
    <t>AST (A) 3</t>
  </si>
  <si>
    <t>LEE (A) 3</t>
  </si>
  <si>
    <t>BRE (A) 3</t>
  </si>
  <si>
    <t>NOT (A) 3</t>
  </si>
  <si>
    <t>FUL (A) 3</t>
  </si>
  <si>
    <t>CRY (A) 3</t>
  </si>
  <si>
    <t>EVE (A) 3</t>
  </si>
  <si>
    <t>TOT (A) 3</t>
  </si>
  <si>
    <t>NEW (A) 3</t>
  </si>
  <si>
    <t>AFC (A) 3</t>
  </si>
  <si>
    <t>SUN (H) 3</t>
  </si>
  <si>
    <t>AST (H) 3</t>
  </si>
  <si>
    <t>LEE (H) 3</t>
  </si>
  <si>
    <t>BRI (H) 3</t>
  </si>
  <si>
    <t>NOT (H) 3</t>
  </si>
  <si>
    <t>EVE (H) 3</t>
  </si>
  <si>
    <t>NEW (H) 3</t>
  </si>
  <si>
    <t>AFC (H) 3</t>
  </si>
  <si>
    <t>BRE (H) 3</t>
  </si>
  <si>
    <t>IPS (A) 2</t>
  </si>
  <si>
    <t>IPS (H) 2</t>
  </si>
  <si>
    <t>FUL (H) 2</t>
  </si>
  <si>
    <t>HUL (H) 2</t>
  </si>
  <si>
    <t>HUL (A) 2</t>
  </si>
  <si>
    <t>COV (H) 2</t>
  </si>
  <si>
    <t>COV (A) 2</t>
  </si>
  <si>
    <t>CRY (H) 2</t>
  </si>
  <si>
    <t>TOT (H) 2</t>
  </si>
  <si>
    <t>CHE (A) 4</t>
  </si>
  <si>
    <t>CHE (H) 4</t>
  </si>
  <si>
    <t>ARS (H) 4</t>
  </si>
  <si>
    <t>MAN (A) 4</t>
  </si>
  <si>
    <t>MAN (H) 4</t>
  </si>
  <si>
    <t>BRI (A) 4</t>
  </si>
  <si>
    <t>LIV (A) 4</t>
  </si>
  <si>
    <t>LIV (H) 4</t>
  </si>
  <si>
    <t>ARS (A) 5</t>
  </si>
  <si>
    <t>MAN (A) 5</t>
  </si>
  <si>
    <t>Column1</t>
  </si>
  <si>
    <t>Column2</t>
  </si>
  <si>
    <t>Fixture difficulty — next five gameweeks</t>
  </si>
  <si>
    <t>Difficulty</t>
  </si>
  <si>
    <t>5 hardest</t>
  </si>
  <si>
    <t>3 average</t>
  </si>
  <si>
    <t>1-2 easiest</t>
  </si>
  <si>
    <t>Best value by position</t>
  </si>
  <si>
    <t>By position</t>
  </si>
  <si>
    <t>Top 10 by value</t>
  </si>
  <si>
    <t>FPL Briefing Workbook</t>
  </si>
  <si>
    <t>What this is</t>
  </si>
  <si>
    <t>A refreshable view of the Premier League analytics warehouse. Player value, fixture difficulty and a personal watchlist. Nothing is typed by hand except the player names in column A of the Watchlist sheet.</t>
  </si>
  <si>
    <t>How to refresh</t>
  </si>
  <si>
    <r>
      <t xml:space="preserve">1. Run </t>
    </r>
    <r>
      <rPr>
        <sz val="10"/>
        <color theme="1"/>
        <rFont val="Arial Unicode MS"/>
      </rPr>
      <t>make refresh</t>
    </r>
    <r>
      <rPr>
        <sz val="11"/>
        <color theme="1"/>
        <rFont val="Aptos Narrow"/>
        <family val="2"/>
        <scheme val="minor"/>
      </rPr>
      <t xml:space="preserve"> in the analytics folder to rebuild the CSV export.</t>
    </r>
  </si>
  <si>
    <t>2. In Excel: Data → Refresh All.</t>
  </si>
  <si>
    <t>If a query errors with a path problem, update the DataPath parameter:</t>
  </si>
  <si>
    <t>Data → Get Data → Launch Power Query Editor → Manage Parameters.</t>
  </si>
  <si>
    <t>How it is built</t>
  </si>
  <si>
    <t>All shaping is in Power Query, not in cell formulas. Open Queries &amp; Connections to read the Applied Steps for each query. Source data: analytics/data/powerbi/*.csv, written by src/bi_export.py.</t>
  </si>
  <si>
    <t>Requirements</t>
  </si>
  <si>
    <t>Microsoft 365, build 2608 or later. The Watchlist uses dynamic arrays (LET, FILTER, HSTACK, BYROW, MAP), which older Excel does not have — on Excel 2019 or earlier every calculated column shows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</si>
</sst>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quot;m&quot;"/>
    <numFmt numFmtId="166" formatCode="\ 0.00"/>
  </numFmts>
  <fonts count="9">
    <font>
      <sz val="11"/>
      <color theme="1"/>
      <name val="Aptos Narrow"/>
      <family val="2"/>
      <scheme val="minor"/>
    </font>
    <font>
      <sz val="11"/>
      <color rgb="FF000000"/>
      <name val="Aptos Narrow"/>
      <family val="2"/>
      <scheme val="minor"/>
    </font>
    <font>
      <sz val="10"/>
      <name val="Aptos Narrow"/>
      <family val="2"/>
      <scheme val="minor"/>
    </font>
    <font>
      <sz val="8"/>
      <name val="Aptos Narrow"/>
      <family val="2"/>
      <scheme val="minor"/>
    </font>
    <font>
      <sz val="10"/>
      <color theme="1"/>
      <name val="Aptos Narrow"/>
      <family val="2"/>
      <scheme val="minor"/>
    </font>
    <font>
      <b/>
      <sz val="12"/>
      <color theme="1"/>
      <name val="Aptos Narrow"/>
      <family val="2"/>
      <scheme val="minor"/>
    </font>
    <font>
      <b/>
      <sz val="14"/>
      <color theme="1"/>
      <name val="Aptos Narrow"/>
      <family val="2"/>
      <scheme val="minor"/>
    </font>
    <font>
      <b/>
      <sz val="14"/>
      <name val="Aptos Narrow"/>
      <family val="2"/>
      <scheme val="minor"/>
    </font>
    <font>
      <sz val="10"/>
      <color theme="1"/>
      <name val="Arial Unicode MS"/>
    </font>
  </fonts>
  <fills count="8">
    <fill>
      <patternFill patternType="none"/>
    </fill>
    <fill>
      <patternFill patternType="gray125"/>
    </fill>
    <fill>
      <patternFill patternType="solid">
        <fgColor rgb="FFE4E7E0"/>
        <bgColor indexed="64"/>
      </patternFill>
    </fill>
    <fill>
      <patternFill patternType="solid">
        <fgColor rgb="FFC6E0B4"/>
        <bgColor indexed="64"/>
      </patternFill>
    </fill>
    <fill>
      <patternFill patternType="solid">
        <fgColor rgb="FFFFF2CC"/>
        <bgColor indexed="64"/>
      </patternFill>
    </fill>
    <fill>
      <patternFill patternType="solid">
        <fgColor rgb="FFE8A598"/>
        <bgColor indexed="64"/>
      </patternFill>
    </fill>
    <fill>
      <patternFill patternType="solid">
        <fgColor theme="0"/>
        <bgColor theme="9" tint="0.79998168889431442"/>
      </patternFill>
    </fill>
    <fill>
      <patternFill patternType="solid">
        <fgColor theme="0"/>
        <bgColor rgb="FFDAF2D0"/>
      </patternFill>
    </fill>
  </fills>
  <borders count="7">
    <border>
      <left/>
      <right/>
      <top/>
      <bottom/>
      <diagonal/>
    </border>
    <border>
      <left/>
      <right/>
      <top style="thin">
        <color theme="9" tint="0.39997558519241921"/>
      </top>
      <bottom style="thin">
        <color theme="9" tint="0.39997558519241921"/>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style="thick">
        <color auto="1"/>
      </left>
      <right style="thick">
        <color auto="1"/>
      </right>
      <top style="thick">
        <color auto="1"/>
      </top>
      <bottom/>
      <diagonal/>
    </border>
    <border>
      <left/>
      <right/>
      <top style="thin">
        <color rgb="FF8ED973"/>
      </top>
      <bottom style="thin">
        <color rgb="FF8ED973"/>
      </bottom>
      <diagonal/>
    </border>
  </borders>
  <cellStyleXfs count="1">
    <xf numFmtId="0" fontId="0" fillId="0" borderId="0"/>
  </cellStyleXfs>
  <cellXfs count="28">
    <xf numFmtId="0" fontId="0" fillId="0" borderId="0" xfId="0"/>
    <xf numFmtId="0" fontId="0" fillId="0" borderId="0" xfId="0" pivotButton="1"/>
    <xf numFmtId="1" fontId="0" fillId="0" borderId="0" xfId="0" applyNumberFormat="1"/>
    <xf numFmtId="2"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applyAlignment="1">
      <alignment horizontal="center"/>
    </xf>
    <xf numFmtId="22" fontId="0" fillId="0" borderId="0" xfId="0" applyNumberFormat="1"/>
    <xf numFmtId="0" fontId="2" fillId="0" borderId="0" xfId="0" applyFont="1" applyAlignment="1">
      <alignment vertical="center"/>
    </xf>
    <xf numFmtId="9" fontId="0" fillId="0" borderId="0" xfId="0" applyNumberFormat="1"/>
    <xf numFmtId="0" fontId="4" fillId="0" borderId="0" xfId="0" applyFont="1" applyAlignment="1">
      <alignment horizontal="left"/>
    </xf>
    <xf numFmtId="0" fontId="4" fillId="0" borderId="0" xfId="0" applyFont="1" applyAlignment="1">
      <alignment horizontal="center"/>
    </xf>
    <xf numFmtId="0" fontId="5" fillId="0" borderId="0" xfId="0" applyFont="1"/>
    <xf numFmtId="0" fontId="5" fillId="2" borderId="4" xfId="0" applyFont="1" applyFill="1" applyBorder="1"/>
    <xf numFmtId="0" fontId="5" fillId="2" borderId="3" xfId="0" applyFont="1" applyFill="1" applyBorder="1" applyAlignment="1">
      <alignment horizontal="center"/>
    </xf>
    <xf numFmtId="0" fontId="6" fillId="0" borderId="0" xfId="0" applyFont="1"/>
    <xf numFmtId="0" fontId="5" fillId="2" borderId="5" xfId="0" applyFont="1" applyFill="1" applyBorder="1" applyAlignment="1">
      <alignment horizontal="center"/>
    </xf>
    <xf numFmtId="0" fontId="0" fillId="5" borderId="2" xfId="0" applyFill="1" applyBorder="1" applyAlignment="1">
      <alignment horizontal="center"/>
    </xf>
    <xf numFmtId="0" fontId="0" fillId="4" borderId="2" xfId="0" applyFill="1" applyBorder="1" applyAlignment="1">
      <alignment horizontal="center"/>
    </xf>
    <xf numFmtId="0" fontId="0" fillId="3" borderId="2" xfId="0" applyFill="1" applyBorder="1" applyAlignment="1">
      <alignment horizontal="center"/>
    </xf>
    <xf numFmtId="0" fontId="0" fillId="0" borderId="0" xfId="0" applyAlignment="1">
      <alignment wrapText="1"/>
    </xf>
    <xf numFmtId="0" fontId="0" fillId="6" borderId="1" xfId="0" applyFill="1" applyBorder="1"/>
    <xf numFmtId="0" fontId="1" fillId="7" borderId="6" xfId="0" applyFont="1" applyFill="1" applyBorder="1"/>
    <xf numFmtId="0" fontId="6" fillId="2" borderId="0" xfId="0" applyFont="1" applyFill="1"/>
    <xf numFmtId="0" fontId="0" fillId="0" borderId="1" xfId="0" applyBorder="1"/>
    <xf numFmtId="0" fontId="0" fillId="0" borderId="0" xfId="0" applyAlignment="1">
      <alignment vertical="center" wrapText="1"/>
    </xf>
    <xf numFmtId="0" fontId="7" fillId="0" borderId="0" xfId="0" applyFont="1" applyAlignment="1">
      <alignment horizontal="center" vertical="center" wrapText="1"/>
    </xf>
  </cellXfs>
  <cellStyles count="1">
    <cellStyle name="Normal" xfId="0" builtinId="0"/>
  </cellStyles>
  <dxfs count="37">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E28F7E"/>
        </patternFill>
      </fill>
    </dxf>
    <dxf>
      <fill>
        <patternFill>
          <bgColor rgb="FFF4C7B8"/>
        </patternFill>
      </fill>
    </dxf>
    <dxf>
      <fill>
        <patternFill>
          <bgColor rgb="FFFFF2CC"/>
        </patternFill>
      </fill>
    </dxf>
    <dxf>
      <fill>
        <patternFill>
          <bgColor rgb="FFC6E0B4"/>
        </patternFill>
      </fill>
    </dxf>
    <dxf>
      <fill>
        <patternFill>
          <bgColor rgb="FF77B44A"/>
        </patternFill>
      </fill>
    </dxf>
    <dxf>
      <fill>
        <patternFill>
          <bgColor rgb="FFF4C7B8"/>
        </patternFill>
      </fill>
    </dxf>
    <dxf>
      <fill>
        <patternFill>
          <bgColor rgb="FFC6E0B4"/>
        </patternFill>
      </fill>
    </dxf>
    <dxf>
      <fill>
        <patternFill>
          <bgColor rgb="FFE08472"/>
        </patternFill>
      </fill>
    </dxf>
    <dxf>
      <fill>
        <patternFill>
          <bgColor rgb="FFFFF2CC"/>
        </patternFill>
      </fill>
    </dxf>
    <dxf>
      <fill>
        <patternFill>
          <bgColor rgb="FFDBECD0"/>
        </patternFill>
      </fil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F6A4A"/>
      <color rgb="FF77B44A"/>
      <color rgb="FFE4E7E0"/>
      <color rgb="FFF4C7B8"/>
      <color rgb="FFC6E0B4"/>
      <color rgb="FFFFF2CC"/>
      <color rgb="FFE8A598"/>
      <color rgb="FFDEEDD3"/>
      <color rgb="FFE28F7E"/>
      <color rgb="FFE084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Best value per million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lotArea>
      <c:layout/>
      <c:barChart>
        <c:barDir val="bar"/>
        <c:grouping val="clustered"/>
        <c:varyColors val="0"/>
        <c:ser>
          <c:idx val="0"/>
          <c:order val="0"/>
          <c:spPr>
            <a:solidFill>
              <a:srgbClr val="1F6A4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Briefing!$H$15:$H$24</c:f>
              <c:strCache>
                <c:ptCount val="10"/>
                <c:pt idx="0">
                  <c:v>Bogle</c:v>
                </c:pt>
                <c:pt idx="1">
                  <c:v>Groß</c:v>
                </c:pt>
                <c:pt idx="2">
                  <c:v>De Cuyper</c:v>
                </c:pt>
                <c:pt idx="3">
                  <c:v>Tzolakis</c:v>
                </c:pt>
                <c:pt idx="4">
                  <c:v>Tarkowski</c:v>
                </c:pt>
                <c:pt idx="5">
                  <c:v>Gvardiol</c:v>
                </c:pt>
                <c:pt idx="6">
                  <c:v>Ajayi</c:v>
                </c:pt>
                <c:pt idx="7">
                  <c:v>Vuskovic</c:v>
                </c:pt>
                <c:pt idx="8">
                  <c:v>Egan</c:v>
                </c:pt>
                <c:pt idx="9">
                  <c:v>Schade</c:v>
                </c:pt>
              </c:strCache>
            </c:strRef>
          </c:cat>
          <c:val>
            <c:numRef>
              <c:f>Briefing!$I$15:$I$24</c:f>
              <c:numCache>
                <c:formatCode>0.00</c:formatCode>
                <c:ptCount val="10"/>
                <c:pt idx="0">
                  <c:v>9.1300000000000008</c:v>
                </c:pt>
                <c:pt idx="1">
                  <c:v>8.1</c:v>
                </c:pt>
                <c:pt idx="2">
                  <c:v>7.6</c:v>
                </c:pt>
                <c:pt idx="3">
                  <c:v>7.23</c:v>
                </c:pt>
                <c:pt idx="4">
                  <c:v>7.05</c:v>
                </c:pt>
                <c:pt idx="5">
                  <c:v>6.49</c:v>
                </c:pt>
                <c:pt idx="6">
                  <c:v>6.43</c:v>
                </c:pt>
                <c:pt idx="7">
                  <c:v>6.4</c:v>
                </c:pt>
                <c:pt idx="8">
                  <c:v>6.34</c:v>
                </c:pt>
                <c:pt idx="9">
                  <c:v>6.29</c:v>
                </c:pt>
              </c:numCache>
            </c:numRef>
          </c:val>
          <c:extLst>
            <c:ext xmlns:c16="http://schemas.microsoft.com/office/drawing/2014/chart" uri="{C3380CC4-5D6E-409C-BE32-E72D297353CC}">
              <c16:uniqueId val="{00000000-D446-49BF-AF58-3817BB8BF97D}"/>
            </c:ext>
          </c:extLst>
        </c:ser>
        <c:dLbls>
          <c:dLblPos val="outEnd"/>
          <c:showLegendKey val="0"/>
          <c:showVal val="1"/>
          <c:showCatName val="0"/>
          <c:showSerName val="0"/>
          <c:showPercent val="0"/>
          <c:showBubbleSize val="0"/>
        </c:dLbls>
        <c:gapWidth val="60"/>
        <c:axId val="260948608"/>
        <c:axId val="265613920"/>
      </c:barChart>
      <c:catAx>
        <c:axId val="260948608"/>
        <c:scaling>
          <c:orientation val="maxMin"/>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65613920"/>
        <c:crosses val="autoZero"/>
        <c:auto val="1"/>
        <c:lblAlgn val="ctr"/>
        <c:lblOffset val="100"/>
        <c:noMultiLvlLbl val="0"/>
      </c:catAx>
      <c:valAx>
        <c:axId val="265613920"/>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60948608"/>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123825</xdr:colOff>
      <xdr:row>4</xdr:row>
      <xdr:rowOff>0</xdr:rowOff>
    </xdr:from>
    <xdr:to>
      <xdr:col>4</xdr:col>
      <xdr:colOff>1619250</xdr:colOff>
      <xdr:row>13</xdr:row>
      <xdr:rowOff>66675</xdr:rowOff>
    </xdr:to>
    <mc:AlternateContent xmlns:mc="http://schemas.openxmlformats.org/markup-compatibility/2006" xmlns:a14="http://schemas.microsoft.com/office/drawing/2010/main">
      <mc:Choice Requires="a14">
        <xdr:graphicFrame macro="">
          <xdr:nvGraphicFramePr>
            <xdr:cNvPr id="5" name="price_band">
              <a:extLst>
                <a:ext uri="{FF2B5EF4-FFF2-40B4-BE49-F238E27FC236}">
                  <a16:creationId xmlns:a16="http://schemas.microsoft.com/office/drawing/2014/main" id="{BAD20EDF-C895-54B0-132B-B85F451C6148}"/>
                </a:ext>
              </a:extLst>
            </xdr:cNvPr>
            <xdr:cNvGraphicFramePr/>
          </xdr:nvGraphicFramePr>
          <xdr:xfrm>
            <a:off x="0" y="0"/>
            <a:ext cx="0" cy="0"/>
          </xdr:xfrm>
          <a:graphic>
            <a:graphicData uri="http://schemas.microsoft.com/office/drawing/2010/slicer">
              <sle:slicer xmlns:sle="http://schemas.microsoft.com/office/drawing/2010/slicer" name="price_band"/>
            </a:graphicData>
          </a:graphic>
        </xdr:graphicFrame>
      </mc:Choice>
      <mc:Fallback xmlns="">
        <xdr:sp macro="" textlink="">
          <xdr:nvSpPr>
            <xdr:cNvPr id="0" name=""/>
            <xdr:cNvSpPr>
              <a:spLocks noTextEdit="1"/>
            </xdr:cNvSpPr>
          </xdr:nvSpPr>
          <xdr:spPr>
            <a:xfrm>
              <a:off x="2943225" y="857250"/>
              <a:ext cx="1495425"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24</xdr:row>
      <xdr:rowOff>90487</xdr:rowOff>
    </xdr:from>
    <xdr:to>
      <xdr:col>4</xdr:col>
      <xdr:colOff>1200150</xdr:colOff>
      <xdr:row>38</xdr:row>
      <xdr:rowOff>166687</xdr:rowOff>
    </xdr:to>
    <xdr:graphicFrame macro="">
      <xdr:nvGraphicFramePr>
        <xdr:cNvPr id="11" name="Chart 10">
          <a:extLst>
            <a:ext uri="{FF2B5EF4-FFF2-40B4-BE49-F238E27FC236}">
              <a16:creationId xmlns:a16="http://schemas.microsoft.com/office/drawing/2014/main" id="{5BF2711B-C825-A4DD-B1F0-4FC8A17B3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3.00885150463" backgroundQuery="1" createdVersion="8" refreshedVersion="8" minRefreshableVersion="3" recordCount="0" supportSubquery="1" supportAdvancedDrill="1" xr:uid="{0821162C-55F5-4F2B-94F5-F1130D8C5887}">
  <cacheSource type="external" connectionId="7"/>
  <cacheFields count="6">
    <cacheField name="[Players].[position_short].[position_short]" caption="position_short" numFmtId="0" hierarchy="19" level="1">
      <sharedItems containsSemiMixedTypes="0" containsNonDate="0" containsString="0"/>
    </cacheField>
    <cacheField name="[Players].[web_name].[web_name]" caption="web_name" numFmtId="0" hierarchy="13" level="1">
      <sharedItems count="10">
        <s v="Ajayi"/>
        <s v="Bogle"/>
        <s v="De Cuyper"/>
        <s v="Egan"/>
        <s v="Groß"/>
        <s v="Gvardiol"/>
        <s v="Schade"/>
        <s v="Tarkowski"/>
        <s v="Tzolakis"/>
        <s v="Vuskovic"/>
      </sharedItems>
    </cacheField>
    <cacheField name="[Measures].[Sum of points]" caption="Sum of points" numFmtId="0" hierarchy="55" level="32767"/>
    <cacheField name="[Measures].[Max of price_m]" caption="Max of price_m" numFmtId="0" hierarchy="57" level="32767"/>
    <cacheField name="[Measures].[Average of points_per_million]" caption="Average of points_per_million" numFmtId="0" hierarchy="59" level="32767"/>
    <cacheField name="[Players].[price_band].[price_band]" caption="price_band" numFmtId="0" hierarchy="30" level="1">
      <sharedItems containsSemiMixedTypes="0" containsNonDate="0" containsString="0"/>
    </cacheField>
  </cacheFields>
  <cacheHierarchies count="65">
    <cacheHierarchy uniqueName="[Fixtures].[team_name]" caption="team_name" attribute="1" defaultMemberUniqueName="[Fixtures].[team_name].[All]" allUniqueName="[Fixtures].[team_name].[All]" dimensionUniqueName="[Fixtures]" displayFolder="" count="0" memberValueDatatype="130" unbalanced="0"/>
    <cacheHierarchy uniqueName="[Fixtures].[opponent_name]" caption="opponent_name" attribute="1" defaultMemberUniqueName="[Fixtures].[opponent_name].[All]" allUniqueName="[Fixtures].[opponent_name].[All]" dimensionUniqueName="[Fixtures]" displayFolder="" count="0" memberValueDatatype="130" unbalanced="0"/>
    <cacheHierarchy uniqueName="[Fixtures].[gameweek_id]" caption="gameweek_id" attribute="1" defaultMemberUniqueName="[Fixtures].[gameweek_id].[All]" allUniqueName="[Fixtures].[gameweek_id].[All]" dimensionUniqueName="[Fixtures]" displayFolder="" count="0" memberValueDatatype="20" unbalanced="0"/>
    <cacheHierarchy uniqueName="[Fixtures].[difficulty]" caption="difficulty" attribute="1" defaultMemberUniqueName="[Fixtures].[difficulty].[All]" allUniqueName="[Fixtures].[difficulty].[All]" dimensionUniqueName="[Fixtures]" displayFolder="" count="0" memberValueDatatype="20" unbalanced="0"/>
    <cacheHierarchy uniqueName="[Fixtures].[venue]" caption="venue" attribute="1" defaultMemberUniqueName="[Fixtures].[venue].[All]" allUniqueName="[Fixtures].[venue].[All]" dimensionUniqueName="[Fixtures]" displayFolder="" count="0" memberValueDatatype="130" unbalanced="0"/>
    <cacheHierarchy uniqueName="[Fixtures].[fixture_label]" caption="fixture_label" attribute="1" defaultMemberUniqueName="[Fixtures].[fixture_label].[All]" allUniqueName="[Fixtures].[fixture_label].[All]" dimensionUniqueName="[Fixtures]" displayFolder="" count="0" memberValueDatatype="130" unbalanced="0"/>
    <cacheHierarchy uniqueName="[Fixtures 1].[team_name]" caption="team_name" attribute="1" defaultMemberUniqueName="[Fixtures 1].[team_name].[All]" allUniqueName="[Fixtures 1].[team_name].[All]" dimensionUniqueName="[Fixtures 1]" displayFolder="" count="0" memberValueDatatype="130" unbalanced="0"/>
    <cacheHierarchy uniqueName="[Fixtures 1].[opponent_name]" caption="opponent_name" attribute="1" defaultMemberUniqueName="[Fixtures 1].[opponent_name].[All]" allUniqueName="[Fixtures 1].[opponent_name].[All]" dimensionUniqueName="[Fixtures 1]" displayFolder="" count="0" memberValueDatatype="130" unbalanced="0"/>
    <cacheHierarchy uniqueName="[Fixtures 1].[gameweek_id]" caption="gameweek_id" attribute="1" defaultMemberUniqueName="[Fixtures 1].[gameweek_id].[All]" allUniqueName="[Fixtures 1].[gameweek_id].[All]" dimensionUniqueName="[Fixtures 1]" displayFolder="" count="0" memberValueDatatype="20" unbalanced="0"/>
    <cacheHierarchy uniqueName="[Fixtures 1].[difficulty]" caption="difficulty" attribute="1" defaultMemberUniqueName="[Fixtures 1].[difficulty].[All]" allUniqueName="[Fixtures 1].[difficulty].[All]" dimensionUniqueName="[Fixtures 1]" displayFolder="" count="0" memberValueDatatype="20" unbalanced="0"/>
    <cacheHierarchy uniqueName="[Fixtures 1].[venue]" caption="venue" attribute="1" defaultMemberUniqueName="[Fixtures 1].[venue].[All]" allUniqueName="[Fixtures 1].[venue].[All]" dimensionUniqueName="[Fixtures 1]" displayFolder="" count="0" memberValueDatatype="130" unbalanced="0"/>
    <cacheHierarchy uniqueName="[Fixtures 1].[fixture_label]" caption="fixture_label" attribute="1" defaultMemberUniqueName="[Fixtures 1].[fixture_label].[All]" allUniqueName="[Fixtures 1].[fixture_label].[All]" dimensionUniqueName="[Fixtures 1]" displayFolder="" count="0" memberValueDatatype="130" unbalanced="0"/>
    <cacheHierarchy uniqueName="[Players].[player_id]" caption="player_id" attribute="1" defaultMemberUniqueName="[Players].[player_id].[All]" allUniqueName="[Players].[player_id].[All]" dimensionUniqueName="[Players]" displayFolder="" count="0" memberValueDatatype="20" unbalanced="0"/>
    <cacheHierarchy uniqueName="[Players].[web_name]" caption="web_name" attribute="1" defaultMemberUniqueName="[Players].[web_name].[All]" allUniqueName="[Players].[web_name].[All]" dimensionUniqueName="[Players]" displayFolder="" count="2" memberValueDatatype="130" unbalanced="0">
      <fieldsUsage count="2">
        <fieldUsage x="-1"/>
        <fieldUsage x="1"/>
      </fieldsUsage>
    </cacheHierarchy>
    <cacheHierarchy uniqueName="[Players].[full_name]" caption="full_name" attribute="1" defaultMemberUniqueName="[Players].[full_name].[All]" allUniqueName="[Players].[full_name].[All]" dimensionUniqueName="[Players]" displayFolder="" count="0" memberValueDatatype="130" unbalanced="0"/>
    <cacheHierarchy uniqueName="[Players].[price_m]" caption="price_m" attribute="1" defaultMemberUniqueName="[Players].[price_m].[All]" allUniqueName="[Players].[price_m].[All]" dimensionUniqueName="[Players]" displayFolder="" count="0" memberValueDatatype="5" unbalanced="0"/>
    <cacheHierarchy uniqueName="[Players].[selected_by_percent]" caption="selected_by_percent" attribute="1" defaultMemberUniqueName="[Players].[selected_by_percent].[All]" allUniqueName="[Players].[selected_by_percent].[All]" dimensionUniqueName="[Players]" displayFolder="" count="0" memberValueDatatype="5" unbalanced="0"/>
    <cacheHierarchy uniqueName="[Players].[status]" caption="status" attribute="1" defaultMemberUniqueName="[Players].[status].[All]" allUniqueName="[Players].[status].[All]" dimensionUniqueName="[Players]" displayFolder="" count="0" memberValueDatatype="130" unbalanced="0"/>
    <cacheHierarchy uniqueName="[Players].[team_name]" caption="team_name" attribute="1" defaultMemberUniqueName="[Players].[team_name].[All]" allUniqueName="[Players].[team_name].[All]" dimensionUniqueName="[Players]" displayFolder="" count="0" memberValueDatatype="130" unbalanced="0"/>
    <cacheHierarchy uniqueName="[Players].[position_short]" caption="position_short" attribute="1" defaultMemberUniqueName="[Players].[position_short].[All]" allUniqueName="[Players].[position_short].[All]" dimensionUniqueName="[Players]" displayFolder="" count="2" memberValueDatatype="130" unbalanced="0">
      <fieldsUsage count="2">
        <fieldUsage x="-1"/>
        <fieldUsage x="0"/>
      </fieldsUsage>
    </cacheHierarchy>
    <cacheHierarchy uniqueName="[Players].[position_name]" caption="position_name" attribute="1" defaultMemberUniqueName="[Players].[position_name].[All]" allUniqueName="[Players].[position_name].[All]" dimensionUniqueName="[Players]" displayFolder="" count="0" memberValueDatatype="130" unbalanced="0"/>
    <cacheHierarchy uniqueName="[Players].[fixtures]" caption="fixtures" attribute="1" defaultMemberUniqueName="[Players].[fixtures].[All]" allUniqueName="[Players].[fixtures].[All]" dimensionUniqueName="[Players]" displayFolder="" count="0" memberValueDatatype="130" unbalanced="0"/>
    <cacheHierarchy uniqueName="[Players].[appearances]" caption="appearances" attribute="1" defaultMemberUniqueName="[Players].[appearances].[All]" allUniqueName="[Players].[appearances].[All]" dimensionUniqueName="[Players]" displayFolder="" count="0" memberValueDatatype="130" unbalanced="0"/>
    <cacheHierarchy uniqueName="[Players].[minutes]" caption="minutes" attribute="1" defaultMemberUniqueName="[Players].[minutes].[All]" allUniqueName="[Players].[minutes].[All]" dimensionUniqueName="[Players]" displayFolder="" count="0" memberValueDatatype="20" unbalanced="0"/>
    <cacheHierarchy uniqueName="[Players].[points]" caption="points" attribute="1" defaultMemberUniqueName="[Players].[points].[All]" allUniqueName="[Players].[points].[All]" dimensionUniqueName="[Players]" displayFolder="" count="0" memberValueDatatype="20" unbalanced="0"/>
    <cacheHierarchy uniqueName="[Players].[goals]" caption="goals" attribute="1" defaultMemberUniqueName="[Players].[goals].[All]" allUniqueName="[Players].[goals].[All]" dimensionUniqueName="[Players]" displayFolder="" count="0" memberValueDatatype="130" unbalanced="0"/>
    <cacheHierarchy uniqueName="[Players].[assists]" caption="assists" attribute="1" defaultMemberUniqueName="[Players].[assists].[All]" allUniqueName="[Players].[assists].[All]" dimensionUniqueName="[Players]" displayFolder="" count="0" memberValueDatatype="130" unbalanced="0"/>
    <cacheHierarchy uniqueName="[Players].[clean_sheets]" caption="clean_sheets" attribute="1" defaultMemberUniqueName="[Players].[clean_sheets].[All]" allUniqueName="[Players].[clean_sheets].[All]" dimensionUniqueName="[Players]" displayFolder="" count="0" memberValueDatatype="130" unbalanced="0"/>
    <cacheHierarchy uniqueName="[Players].[bonus]" caption="bonus" attribute="1" defaultMemberUniqueName="[Players].[bonus].[All]" allUniqueName="[Players].[bonus].[All]" dimensionUniqueName="[Players]" displayFolder="" count="0" memberValueDatatype="130" unbalanced="0"/>
    <cacheHierarchy uniqueName="[Players].[points_per_million]" caption="points_per_million" attribute="1" defaultMemberUniqueName="[Players].[points_per_million].[All]" allUniqueName="[Players].[points_per_million].[All]" dimensionUniqueName="[Players]" displayFolder="" count="0" memberValueDatatype="5" unbalanced="0"/>
    <cacheHierarchy uniqueName="[Players].[price_band]" caption="price_band" attribute="1" defaultMemberUniqueName="[Players].[price_band].[All]" allUniqueName="[Players].[price_band].[All]" dimensionUniqueName="[Players]" displayFolder="" count="2" memberValueDatatype="130" unbalanced="0">
      <fieldsUsage count="2">
        <fieldUsage x="-1"/>
        <fieldUsage x="5"/>
      </fieldsUsage>
    </cacheHierarchy>
    <cacheHierarchy uniqueName="[Players 1].[player_id]" caption="player_id" attribute="1" defaultMemberUniqueName="[Players 1].[player_id].[All]" allUniqueName="[Players 1].[player_id].[All]" dimensionUniqueName="[Players 1]" displayFolder="" count="0" memberValueDatatype="20" unbalanced="0"/>
    <cacheHierarchy uniqueName="[Players 1].[web_name]" caption="web_name" attribute="1" defaultMemberUniqueName="[Players 1].[web_name].[All]" allUniqueName="[Players 1].[web_name].[All]" dimensionUniqueName="[Players 1]" displayFolder="" count="0" memberValueDatatype="130" unbalanced="0"/>
    <cacheHierarchy uniqueName="[Players 1].[full_name]" caption="full_name" attribute="1" defaultMemberUniqueName="[Players 1].[full_name].[All]" allUniqueName="[Players 1].[full_name].[All]" dimensionUniqueName="[Players 1]" displayFolder="" count="0" memberValueDatatype="130" unbalanced="0"/>
    <cacheHierarchy uniqueName="[Players 1].[price_m]" caption="price_m" attribute="1" defaultMemberUniqueName="[Players 1].[price_m].[All]" allUniqueName="[Players 1].[price_m].[All]" dimensionUniqueName="[Players 1]" displayFolder="" count="0" memberValueDatatype="5" unbalanced="0"/>
    <cacheHierarchy uniqueName="[Players 1].[selected_by_percent]" caption="selected_by_percent" attribute="1" defaultMemberUniqueName="[Players 1].[selected_by_percent].[All]" allUniqueName="[Players 1].[selected_by_percent].[All]" dimensionUniqueName="[Players 1]" displayFolder="" count="0" memberValueDatatype="5" unbalanced="0"/>
    <cacheHierarchy uniqueName="[Players 1].[status]" caption="status" attribute="1" defaultMemberUniqueName="[Players 1].[status].[All]" allUniqueName="[Players 1].[status].[All]" dimensionUniqueName="[Players 1]" displayFolder="" count="0" memberValueDatatype="130" unbalanced="0"/>
    <cacheHierarchy uniqueName="[Players 1].[team_name]" caption="team_name" attribute="1" defaultMemberUniqueName="[Players 1].[team_name].[All]" allUniqueName="[Players 1].[team_name].[All]" dimensionUniqueName="[Players 1]" displayFolder="" count="0" memberValueDatatype="130" unbalanced="0"/>
    <cacheHierarchy uniqueName="[Players 1].[position_short]" caption="position_short" attribute="1" defaultMemberUniqueName="[Players 1].[position_short].[All]" allUniqueName="[Players 1].[position_short].[All]" dimensionUniqueName="[Players 1]" displayFolder="" count="0" memberValueDatatype="130" unbalanced="0"/>
    <cacheHierarchy uniqueName="[Players 1].[position_name]" caption="position_name" attribute="1" defaultMemberUniqueName="[Players 1].[position_name].[All]" allUniqueName="[Players 1].[position_name].[All]" dimensionUniqueName="[Players 1]" displayFolder="" count="0" memberValueDatatype="130" unbalanced="0"/>
    <cacheHierarchy uniqueName="[Players 1].[fixtures]" caption="fixtures" attribute="1" defaultMemberUniqueName="[Players 1].[fixtures].[All]" allUniqueName="[Players 1].[fixtures].[All]" dimensionUniqueName="[Players 1]" displayFolder="" count="0" memberValueDatatype="130" unbalanced="0"/>
    <cacheHierarchy uniqueName="[Players 1].[appearances]" caption="appearances" attribute="1" defaultMemberUniqueName="[Players 1].[appearances].[All]" allUniqueName="[Players 1].[appearances].[All]" dimensionUniqueName="[Players 1]" displayFolder="" count="0" memberValueDatatype="130" unbalanced="0"/>
    <cacheHierarchy uniqueName="[Players 1].[minutes]" caption="minutes" attribute="1" defaultMemberUniqueName="[Players 1].[minutes].[All]" allUniqueName="[Players 1].[minutes].[All]" dimensionUniqueName="[Players 1]" displayFolder="" count="0" memberValueDatatype="20" unbalanced="0"/>
    <cacheHierarchy uniqueName="[Players 1].[points]" caption="points" attribute="1" defaultMemberUniqueName="[Players 1].[points].[All]" allUniqueName="[Players 1].[points].[All]" dimensionUniqueName="[Players 1]" displayFolder="" count="0" memberValueDatatype="20" unbalanced="0"/>
    <cacheHierarchy uniqueName="[Players 1].[goals]" caption="goals" attribute="1" defaultMemberUniqueName="[Players 1].[goals].[All]" allUniqueName="[Players 1].[goals].[All]" dimensionUniqueName="[Players 1]" displayFolder="" count="0" memberValueDatatype="130" unbalanced="0"/>
    <cacheHierarchy uniqueName="[Players 1].[assists]" caption="assists" attribute="1" defaultMemberUniqueName="[Players 1].[assists].[All]" allUniqueName="[Players 1].[assists].[All]" dimensionUniqueName="[Players 1]" displayFolder="" count="0" memberValueDatatype="130" unbalanced="0"/>
    <cacheHierarchy uniqueName="[Players 1].[clean_sheets]" caption="clean_sheets" attribute="1" defaultMemberUniqueName="[Players 1].[clean_sheets].[All]" allUniqueName="[Players 1].[clean_sheets].[All]" dimensionUniqueName="[Players 1]" displayFolder="" count="0" memberValueDatatype="130" unbalanced="0"/>
    <cacheHierarchy uniqueName="[Players 1].[bonus]" caption="bonus" attribute="1" defaultMemberUniqueName="[Players 1].[bonus].[All]" allUniqueName="[Players 1].[bonus].[All]" dimensionUniqueName="[Players 1]" displayFolder="" count="0" memberValueDatatype="130" unbalanced="0"/>
    <cacheHierarchy uniqueName="[Players 1].[points_per_million]" caption="points_per_million" attribute="1" defaultMemberUniqueName="[Players 1].[points_per_million].[All]" allUniqueName="[Players 1].[points_per_million].[All]" dimensionUniqueName="[Players 1]" displayFolder="" count="0" memberValueDatatype="5" unbalanced="0"/>
    <cacheHierarchy uniqueName="[Players 1].[price_band]" caption="price_band" attribute="1" defaultMemberUniqueName="[Players 1].[price_band].[All]" allUniqueName="[Players 1].[price_band].[All]" dimensionUniqueName="[Players 1]" displayFolder="" count="0" memberValueDatatype="130" unbalanced="0"/>
    <cacheHierarchy uniqueName="[Measures].[__XL_Count Fixtures]" caption="__XL_Count Fixtures" measure="1" displayFolder="" measureGroup="Fixtures" count="0" hidden="1"/>
    <cacheHierarchy uniqueName="[Measures].[__XL_Count Players]" caption="__XL_Count Players" measure="1" displayFolder="" measureGroup="Players" count="0" hidden="1"/>
    <cacheHierarchy uniqueName="[Measures].[__XL_Count Players 1]" caption="__XL_Count Players 1" measure="1" displayFolder="" measureGroup="Players 1" count="0" hidden="1"/>
    <cacheHierarchy uniqueName="[Measures].[__XL_Count Fixtures 1]" caption="__XL_Count Fixtures 1" measure="1" displayFolder="" measureGroup="Fixtures 1" count="0" hidden="1"/>
    <cacheHierarchy uniqueName="[Measures].[__No measures defined]" caption="__No measures defined" measure="1" displayFolder="" count="0" hidden="1"/>
    <cacheHierarchy uniqueName="[Measures].[Sum of points]" caption="Sum of points" measure="1" displayFolder="" measureGroup="Player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rice_m]" caption="Sum of price_m" measure="1" displayFolder="" measureGroup="Players" count="0" hidden="1">
      <extLst>
        <ext xmlns:x15="http://schemas.microsoft.com/office/spreadsheetml/2010/11/main" uri="{B97F6D7D-B522-45F9-BDA1-12C45D357490}">
          <x15:cacheHierarchy aggregatedColumn="15"/>
        </ext>
      </extLst>
    </cacheHierarchy>
    <cacheHierarchy uniqueName="[Measures].[Max of price_m]" caption="Max of price_m" measure="1" displayFolder="" measureGroup="Player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points_per_million]" caption="Sum of points_per_million" measure="1" displayFolder="" measureGroup="Players" count="0" hidden="1">
      <extLst>
        <ext xmlns:x15="http://schemas.microsoft.com/office/spreadsheetml/2010/11/main" uri="{B97F6D7D-B522-45F9-BDA1-12C45D357490}">
          <x15:cacheHierarchy aggregatedColumn="29"/>
        </ext>
      </extLst>
    </cacheHierarchy>
    <cacheHierarchy uniqueName="[Measures].[Average of points_per_million]" caption="Average of points_per_million" measure="1" displayFolder="" measureGroup="Players" count="0" oneField="1" hidden="1">
      <fieldsUsage count="1">
        <fieldUsage x="4"/>
      </fieldsUsage>
      <extLst>
        <ext xmlns:x15="http://schemas.microsoft.com/office/spreadsheetml/2010/11/main" uri="{B97F6D7D-B522-45F9-BDA1-12C45D357490}">
          <x15:cacheHierarchy aggregatedColumn="29"/>
        </ext>
      </extLst>
    </cacheHierarchy>
    <cacheHierarchy uniqueName="[Measures].[Average of points]" caption="Average of points" measure="1" displayFolder="" measureGroup="Players" count="0" hidden="1">
      <extLst>
        <ext xmlns:x15="http://schemas.microsoft.com/office/spreadsheetml/2010/11/main" uri="{B97F6D7D-B522-45F9-BDA1-12C45D357490}">
          <x15:cacheHierarchy aggregatedColumn="24"/>
        </ext>
      </extLst>
    </cacheHierarchy>
    <cacheHierarchy uniqueName="[Measures].[Average of price_m]" caption="Average of price_m" measure="1" displayFolder="" measureGroup="Players" count="0" hidden="1">
      <extLst>
        <ext xmlns:x15="http://schemas.microsoft.com/office/spreadsheetml/2010/11/main" uri="{B97F6D7D-B522-45F9-BDA1-12C45D357490}">
          <x15:cacheHierarchy aggregatedColumn="15"/>
        </ext>
      </extLst>
    </cacheHierarchy>
    <cacheHierarchy uniqueName="[Measures].[Sum of gameweek_id]" caption="Sum of gameweek_id" measure="1" displayFolder="" measureGroup="Fixtures" count="0" hidden="1">
      <extLst>
        <ext xmlns:x15="http://schemas.microsoft.com/office/spreadsheetml/2010/11/main" uri="{B97F6D7D-B522-45F9-BDA1-12C45D357490}">
          <x15:cacheHierarchy aggregatedColumn="2"/>
        </ext>
      </extLst>
    </cacheHierarchy>
    <cacheHierarchy uniqueName="[Measures].[Sum of difficulty]" caption="Sum of difficulty" measure="1" displayFolder="" measureGroup="Fixtures" count="0" hidden="1">
      <extLst>
        <ext xmlns:x15="http://schemas.microsoft.com/office/spreadsheetml/2010/11/main" uri="{B97F6D7D-B522-45F9-BDA1-12C45D357490}">
          <x15:cacheHierarchy aggregatedColumn="3"/>
        </ext>
      </extLst>
    </cacheHierarchy>
    <cacheHierarchy uniqueName="[Measures].[Average of difficulty]" caption="Average of difficulty" measure="1" displayFolder="" measureGroup="Fixtures" count="0" hidden="1">
      <extLst>
        <ext xmlns:x15="http://schemas.microsoft.com/office/spreadsheetml/2010/11/main" uri="{B97F6D7D-B522-45F9-BDA1-12C45D357490}">
          <x15:cacheHierarchy aggregatedColumn="3"/>
        </ext>
      </extLst>
    </cacheHierarchy>
  </cacheHierarchies>
  <kpis count="0"/>
  <dimensions count="5">
    <dimension name="Fixtures" uniqueName="[Fixtures]" caption="Fixtures"/>
    <dimension name="Fixtures 1" uniqueName="[Fixtures 1]" caption="Fixtures 1"/>
    <dimension measure="1" name="Measures" uniqueName="[Measures]" caption="Measures"/>
    <dimension name="Players" uniqueName="[Players]" caption="Players"/>
    <dimension name="Players 1" uniqueName="[Players 1]" caption="Players 1"/>
  </dimensions>
  <measureGroups count="4">
    <measureGroup name="Fixtures" caption="Fixtures"/>
    <measureGroup name="Fixtures 1" caption="Fixtures 1"/>
    <measureGroup name="Players" caption="Players"/>
    <measureGroup name="Players 1" caption="Players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3.008852083331" backgroundQuery="1" createdVersion="8" refreshedVersion="8" minRefreshableVersion="3" recordCount="0" supportSubquery="1" supportAdvancedDrill="1" xr:uid="{65153149-A650-4098-8C0C-E3FAE103F31D}">
  <cacheSource type="external" connectionId="7"/>
  <cacheFields count="6">
    <cacheField name="[Players].[position_short].[position_short]" caption="position_short" numFmtId="0" hierarchy="19" level="1">
      <sharedItems count="4">
        <s v="DEF"/>
        <s v="FWD"/>
        <s v="GKP"/>
        <s v="MID"/>
      </sharedItems>
    </cacheField>
    <cacheField name="[Players].[web_name].[web_name]" caption="web_name" numFmtId="0" hierarchy="13" level="1">
      <sharedItems count="40">
        <s v="Branthwaite"/>
        <s v="Calafiori"/>
        <s v="Guéhi"/>
        <s v="Gvardiol"/>
        <s v="Hall"/>
        <s v="Jacquet"/>
        <s v="Muharemović"/>
        <s v="Tarkowski"/>
        <s v="Virgil"/>
        <s v="Vuskovic"/>
        <s v="Barry"/>
        <s v="Brobbey"/>
        <s v="Calvert-Lewin"/>
        <s v="Emersonn"/>
        <s v="Evanilson"/>
        <s v="Gonzalo"/>
        <s v="Kostoulas"/>
        <s v="McBurnie"/>
        <s v="Strand Larsen"/>
        <s v="Wissa"/>
        <s v="A.Becker"/>
        <s v="Donnarumma"/>
        <s v="Horníček"/>
        <s v="Kelleher"/>
        <s v="Martinez"/>
        <s v="Pickford"/>
        <s v="Raya"/>
        <s v="Sels"/>
        <s v="Suzuki"/>
        <s v="Trafford"/>
        <s v="Barnes"/>
        <s v="Belloumi"/>
        <s v="Gomez"/>
        <s v="Groß"/>
        <s v="Janelt"/>
        <s v="Ødegaard"/>
        <s v="Schade"/>
        <s v="Scott"/>
        <s v="Stach"/>
        <s v="Tavernier"/>
      </sharedItems>
    </cacheField>
    <cacheField name="[Players].[price_band].[price_band]" caption="price_band" numFmtId="0" hierarchy="30" level="1">
      <sharedItems containsSemiMixedTypes="0" containsNonDate="0" containsString="0"/>
    </cacheField>
    <cacheField name="[Measures].[Average of points]" caption="Average of points" numFmtId="0" hierarchy="60" level="32767"/>
    <cacheField name="[Measures].[Average of price_m]" caption="Average of price_m" numFmtId="0" hierarchy="61" level="32767"/>
    <cacheField name="[Measures].[Average of points_per_million]" caption="Average of points_per_million" numFmtId="0" hierarchy="59" level="32767"/>
  </cacheFields>
  <cacheHierarchies count="65">
    <cacheHierarchy uniqueName="[Fixtures].[team_name]" caption="team_name" attribute="1" defaultMemberUniqueName="[Fixtures].[team_name].[All]" allUniqueName="[Fixtures].[team_name].[All]" dimensionUniqueName="[Fixtures]" displayFolder="" count="0" memberValueDatatype="130" unbalanced="0"/>
    <cacheHierarchy uniqueName="[Fixtures].[opponent_name]" caption="opponent_name" attribute="1" defaultMemberUniqueName="[Fixtures].[opponent_name].[All]" allUniqueName="[Fixtures].[opponent_name].[All]" dimensionUniqueName="[Fixtures]" displayFolder="" count="0" memberValueDatatype="130" unbalanced="0"/>
    <cacheHierarchy uniqueName="[Fixtures].[gameweek_id]" caption="gameweek_id" attribute="1" defaultMemberUniqueName="[Fixtures].[gameweek_id].[All]" allUniqueName="[Fixtures].[gameweek_id].[All]" dimensionUniqueName="[Fixtures]" displayFolder="" count="0" memberValueDatatype="20" unbalanced="0"/>
    <cacheHierarchy uniqueName="[Fixtures].[difficulty]" caption="difficulty" attribute="1" defaultMemberUniqueName="[Fixtures].[difficulty].[All]" allUniqueName="[Fixtures].[difficulty].[All]" dimensionUniqueName="[Fixtures]" displayFolder="" count="0" memberValueDatatype="20" unbalanced="0"/>
    <cacheHierarchy uniqueName="[Fixtures].[venue]" caption="venue" attribute="1" defaultMemberUniqueName="[Fixtures].[venue].[All]" allUniqueName="[Fixtures].[venue].[All]" dimensionUniqueName="[Fixtures]" displayFolder="" count="0" memberValueDatatype="130" unbalanced="0"/>
    <cacheHierarchy uniqueName="[Fixtures].[fixture_label]" caption="fixture_label" attribute="1" defaultMemberUniqueName="[Fixtures].[fixture_label].[All]" allUniqueName="[Fixtures].[fixture_label].[All]" dimensionUniqueName="[Fixtures]" displayFolder="" count="0" memberValueDatatype="130" unbalanced="0"/>
    <cacheHierarchy uniqueName="[Fixtures 1].[team_name]" caption="team_name" attribute="1" defaultMemberUniqueName="[Fixtures 1].[team_name].[All]" allUniqueName="[Fixtures 1].[team_name].[All]" dimensionUniqueName="[Fixtures 1]" displayFolder="" count="0" memberValueDatatype="130" unbalanced="0"/>
    <cacheHierarchy uniqueName="[Fixtures 1].[opponent_name]" caption="opponent_name" attribute="1" defaultMemberUniqueName="[Fixtures 1].[opponent_name].[All]" allUniqueName="[Fixtures 1].[opponent_name].[All]" dimensionUniqueName="[Fixtures 1]" displayFolder="" count="0" memberValueDatatype="130" unbalanced="0"/>
    <cacheHierarchy uniqueName="[Fixtures 1].[gameweek_id]" caption="gameweek_id" attribute="1" defaultMemberUniqueName="[Fixtures 1].[gameweek_id].[All]" allUniqueName="[Fixtures 1].[gameweek_id].[All]" dimensionUniqueName="[Fixtures 1]" displayFolder="" count="0" memberValueDatatype="20" unbalanced="0"/>
    <cacheHierarchy uniqueName="[Fixtures 1].[difficulty]" caption="difficulty" attribute="1" defaultMemberUniqueName="[Fixtures 1].[difficulty].[All]" allUniqueName="[Fixtures 1].[difficulty].[All]" dimensionUniqueName="[Fixtures 1]" displayFolder="" count="0" memberValueDatatype="20" unbalanced="0"/>
    <cacheHierarchy uniqueName="[Fixtures 1].[venue]" caption="venue" attribute="1" defaultMemberUniqueName="[Fixtures 1].[venue].[All]" allUniqueName="[Fixtures 1].[venue].[All]" dimensionUniqueName="[Fixtures 1]" displayFolder="" count="0" memberValueDatatype="130" unbalanced="0"/>
    <cacheHierarchy uniqueName="[Fixtures 1].[fixture_label]" caption="fixture_label" attribute="1" defaultMemberUniqueName="[Fixtures 1].[fixture_label].[All]" allUniqueName="[Fixtures 1].[fixture_label].[All]" dimensionUniqueName="[Fixtures 1]" displayFolder="" count="0" memberValueDatatype="130" unbalanced="0"/>
    <cacheHierarchy uniqueName="[Players].[player_id]" caption="player_id" attribute="1" defaultMemberUniqueName="[Players].[player_id].[All]" allUniqueName="[Players].[player_id].[All]" dimensionUniqueName="[Players]" displayFolder="" count="0" memberValueDatatype="20" unbalanced="0"/>
    <cacheHierarchy uniqueName="[Players].[web_name]" caption="web_name" attribute="1" defaultMemberUniqueName="[Players].[web_name].[All]" allUniqueName="[Players].[web_name].[All]" dimensionUniqueName="[Players]" displayFolder="" count="2" memberValueDatatype="130" unbalanced="0">
      <fieldsUsage count="2">
        <fieldUsage x="-1"/>
        <fieldUsage x="1"/>
      </fieldsUsage>
    </cacheHierarchy>
    <cacheHierarchy uniqueName="[Players].[full_name]" caption="full_name" attribute="1" defaultMemberUniqueName="[Players].[full_name].[All]" allUniqueName="[Players].[full_name].[All]" dimensionUniqueName="[Players]" displayFolder="" count="0" memberValueDatatype="130" unbalanced="0"/>
    <cacheHierarchy uniqueName="[Players].[price_m]" caption="price_m" attribute="1" defaultMemberUniqueName="[Players].[price_m].[All]" allUniqueName="[Players].[price_m].[All]" dimensionUniqueName="[Players]" displayFolder="" count="0" memberValueDatatype="5" unbalanced="0"/>
    <cacheHierarchy uniqueName="[Players].[selected_by_percent]" caption="selected_by_percent" attribute="1" defaultMemberUniqueName="[Players].[selected_by_percent].[All]" allUniqueName="[Players].[selected_by_percent].[All]" dimensionUniqueName="[Players]" displayFolder="" count="0" memberValueDatatype="5" unbalanced="0"/>
    <cacheHierarchy uniqueName="[Players].[status]" caption="status" attribute="1" defaultMemberUniqueName="[Players].[status].[All]" allUniqueName="[Players].[status].[All]" dimensionUniqueName="[Players]" displayFolder="" count="0" memberValueDatatype="130" unbalanced="0"/>
    <cacheHierarchy uniqueName="[Players].[team_name]" caption="team_name" attribute="1" defaultMemberUniqueName="[Players].[team_name].[All]" allUniqueName="[Players].[team_name].[All]" dimensionUniqueName="[Players]" displayFolder="" count="0" memberValueDatatype="130" unbalanced="0"/>
    <cacheHierarchy uniqueName="[Players].[position_short]" caption="position_short" attribute="1" defaultMemberUniqueName="[Players].[position_short].[All]" allUniqueName="[Players].[position_short].[All]" dimensionUniqueName="[Players]" displayFolder="" count="2" memberValueDatatype="130" unbalanced="0">
      <fieldsUsage count="2">
        <fieldUsage x="-1"/>
        <fieldUsage x="0"/>
      </fieldsUsage>
    </cacheHierarchy>
    <cacheHierarchy uniqueName="[Players].[position_name]" caption="position_name" attribute="1" defaultMemberUniqueName="[Players].[position_name].[All]" allUniqueName="[Players].[position_name].[All]" dimensionUniqueName="[Players]" displayFolder="" count="0" memberValueDatatype="130" unbalanced="0"/>
    <cacheHierarchy uniqueName="[Players].[fixtures]" caption="fixtures" attribute="1" defaultMemberUniqueName="[Players].[fixtures].[All]" allUniqueName="[Players].[fixtures].[All]" dimensionUniqueName="[Players]" displayFolder="" count="0" memberValueDatatype="130" unbalanced="0"/>
    <cacheHierarchy uniqueName="[Players].[appearances]" caption="appearances" attribute="1" defaultMemberUniqueName="[Players].[appearances].[All]" allUniqueName="[Players].[appearances].[All]" dimensionUniqueName="[Players]" displayFolder="" count="0" memberValueDatatype="130" unbalanced="0"/>
    <cacheHierarchy uniqueName="[Players].[minutes]" caption="minutes" attribute="1" defaultMemberUniqueName="[Players].[minutes].[All]" allUniqueName="[Players].[minutes].[All]" dimensionUniqueName="[Players]" displayFolder="" count="0" memberValueDatatype="20" unbalanced="0"/>
    <cacheHierarchy uniqueName="[Players].[points]" caption="points" attribute="1" defaultMemberUniqueName="[Players].[points].[All]" allUniqueName="[Players].[points].[All]" dimensionUniqueName="[Players]" displayFolder="" count="0" memberValueDatatype="20" unbalanced="0"/>
    <cacheHierarchy uniqueName="[Players].[goals]" caption="goals" attribute="1" defaultMemberUniqueName="[Players].[goals].[All]" allUniqueName="[Players].[goals].[All]" dimensionUniqueName="[Players]" displayFolder="" count="0" memberValueDatatype="130" unbalanced="0"/>
    <cacheHierarchy uniqueName="[Players].[assists]" caption="assists" attribute="1" defaultMemberUniqueName="[Players].[assists].[All]" allUniqueName="[Players].[assists].[All]" dimensionUniqueName="[Players]" displayFolder="" count="0" memberValueDatatype="130" unbalanced="0"/>
    <cacheHierarchy uniqueName="[Players].[clean_sheets]" caption="clean_sheets" attribute="1" defaultMemberUniqueName="[Players].[clean_sheets].[All]" allUniqueName="[Players].[clean_sheets].[All]" dimensionUniqueName="[Players]" displayFolder="" count="0" memberValueDatatype="130" unbalanced="0"/>
    <cacheHierarchy uniqueName="[Players].[bonus]" caption="bonus" attribute="1" defaultMemberUniqueName="[Players].[bonus].[All]" allUniqueName="[Players].[bonus].[All]" dimensionUniqueName="[Players]" displayFolder="" count="0" memberValueDatatype="130" unbalanced="0"/>
    <cacheHierarchy uniqueName="[Players].[points_per_million]" caption="points_per_million" attribute="1" defaultMemberUniqueName="[Players].[points_per_million].[All]" allUniqueName="[Players].[points_per_million].[All]" dimensionUniqueName="[Players]" displayFolder="" count="0" memberValueDatatype="5" unbalanced="0"/>
    <cacheHierarchy uniqueName="[Players].[price_band]" caption="price_band" attribute="1" defaultMemberUniqueName="[Players].[price_band].[All]" allUniqueName="[Players].[price_band].[All]" dimensionUniqueName="[Players]" displayFolder="" count="2" memberValueDatatype="130" unbalanced="0">
      <fieldsUsage count="2">
        <fieldUsage x="-1"/>
        <fieldUsage x="2"/>
      </fieldsUsage>
    </cacheHierarchy>
    <cacheHierarchy uniqueName="[Players 1].[player_id]" caption="player_id" attribute="1" defaultMemberUniqueName="[Players 1].[player_id].[All]" allUniqueName="[Players 1].[player_id].[All]" dimensionUniqueName="[Players 1]" displayFolder="" count="0" memberValueDatatype="20" unbalanced="0"/>
    <cacheHierarchy uniqueName="[Players 1].[web_name]" caption="web_name" attribute="1" defaultMemberUniqueName="[Players 1].[web_name].[All]" allUniqueName="[Players 1].[web_name].[All]" dimensionUniqueName="[Players 1]" displayFolder="" count="0" memberValueDatatype="130" unbalanced="0"/>
    <cacheHierarchy uniqueName="[Players 1].[full_name]" caption="full_name" attribute="1" defaultMemberUniqueName="[Players 1].[full_name].[All]" allUniqueName="[Players 1].[full_name].[All]" dimensionUniqueName="[Players 1]" displayFolder="" count="0" memberValueDatatype="130" unbalanced="0"/>
    <cacheHierarchy uniqueName="[Players 1].[price_m]" caption="price_m" attribute="1" defaultMemberUniqueName="[Players 1].[price_m].[All]" allUniqueName="[Players 1].[price_m].[All]" dimensionUniqueName="[Players 1]" displayFolder="" count="0" memberValueDatatype="5" unbalanced="0"/>
    <cacheHierarchy uniqueName="[Players 1].[selected_by_percent]" caption="selected_by_percent" attribute="1" defaultMemberUniqueName="[Players 1].[selected_by_percent].[All]" allUniqueName="[Players 1].[selected_by_percent].[All]" dimensionUniqueName="[Players 1]" displayFolder="" count="0" memberValueDatatype="5" unbalanced="0"/>
    <cacheHierarchy uniqueName="[Players 1].[status]" caption="status" attribute="1" defaultMemberUniqueName="[Players 1].[status].[All]" allUniqueName="[Players 1].[status].[All]" dimensionUniqueName="[Players 1]" displayFolder="" count="0" memberValueDatatype="130" unbalanced="0"/>
    <cacheHierarchy uniqueName="[Players 1].[team_name]" caption="team_name" attribute="1" defaultMemberUniqueName="[Players 1].[team_name].[All]" allUniqueName="[Players 1].[team_name].[All]" dimensionUniqueName="[Players 1]" displayFolder="" count="0" memberValueDatatype="130" unbalanced="0"/>
    <cacheHierarchy uniqueName="[Players 1].[position_short]" caption="position_short" attribute="1" defaultMemberUniqueName="[Players 1].[position_short].[All]" allUniqueName="[Players 1].[position_short].[All]" dimensionUniqueName="[Players 1]" displayFolder="" count="0" memberValueDatatype="130" unbalanced="0"/>
    <cacheHierarchy uniqueName="[Players 1].[position_name]" caption="position_name" attribute="1" defaultMemberUniqueName="[Players 1].[position_name].[All]" allUniqueName="[Players 1].[position_name].[All]" dimensionUniqueName="[Players 1]" displayFolder="" count="0" memberValueDatatype="130" unbalanced="0"/>
    <cacheHierarchy uniqueName="[Players 1].[fixtures]" caption="fixtures" attribute="1" defaultMemberUniqueName="[Players 1].[fixtures].[All]" allUniqueName="[Players 1].[fixtures].[All]" dimensionUniqueName="[Players 1]" displayFolder="" count="0" memberValueDatatype="130" unbalanced="0"/>
    <cacheHierarchy uniqueName="[Players 1].[appearances]" caption="appearances" attribute="1" defaultMemberUniqueName="[Players 1].[appearances].[All]" allUniqueName="[Players 1].[appearances].[All]" dimensionUniqueName="[Players 1]" displayFolder="" count="0" memberValueDatatype="130" unbalanced="0"/>
    <cacheHierarchy uniqueName="[Players 1].[minutes]" caption="minutes" attribute="1" defaultMemberUniqueName="[Players 1].[minutes].[All]" allUniqueName="[Players 1].[minutes].[All]" dimensionUniqueName="[Players 1]" displayFolder="" count="0" memberValueDatatype="20" unbalanced="0"/>
    <cacheHierarchy uniqueName="[Players 1].[points]" caption="points" attribute="1" defaultMemberUniqueName="[Players 1].[points].[All]" allUniqueName="[Players 1].[points].[All]" dimensionUniqueName="[Players 1]" displayFolder="" count="0" memberValueDatatype="20" unbalanced="0"/>
    <cacheHierarchy uniqueName="[Players 1].[goals]" caption="goals" attribute="1" defaultMemberUniqueName="[Players 1].[goals].[All]" allUniqueName="[Players 1].[goals].[All]" dimensionUniqueName="[Players 1]" displayFolder="" count="0" memberValueDatatype="130" unbalanced="0"/>
    <cacheHierarchy uniqueName="[Players 1].[assists]" caption="assists" attribute="1" defaultMemberUniqueName="[Players 1].[assists].[All]" allUniqueName="[Players 1].[assists].[All]" dimensionUniqueName="[Players 1]" displayFolder="" count="0" memberValueDatatype="130" unbalanced="0"/>
    <cacheHierarchy uniqueName="[Players 1].[clean_sheets]" caption="clean_sheets" attribute="1" defaultMemberUniqueName="[Players 1].[clean_sheets].[All]" allUniqueName="[Players 1].[clean_sheets].[All]" dimensionUniqueName="[Players 1]" displayFolder="" count="0" memberValueDatatype="130" unbalanced="0"/>
    <cacheHierarchy uniqueName="[Players 1].[bonus]" caption="bonus" attribute="1" defaultMemberUniqueName="[Players 1].[bonus].[All]" allUniqueName="[Players 1].[bonus].[All]" dimensionUniqueName="[Players 1]" displayFolder="" count="0" memberValueDatatype="130" unbalanced="0"/>
    <cacheHierarchy uniqueName="[Players 1].[points_per_million]" caption="points_per_million" attribute="1" defaultMemberUniqueName="[Players 1].[points_per_million].[All]" allUniqueName="[Players 1].[points_per_million].[All]" dimensionUniqueName="[Players 1]" displayFolder="" count="0" memberValueDatatype="5" unbalanced="0"/>
    <cacheHierarchy uniqueName="[Players 1].[price_band]" caption="price_band" attribute="1" defaultMemberUniqueName="[Players 1].[price_band].[All]" allUniqueName="[Players 1].[price_band].[All]" dimensionUniqueName="[Players 1]" displayFolder="" count="0" memberValueDatatype="130" unbalanced="0"/>
    <cacheHierarchy uniqueName="[Measures].[__XL_Count Fixtures]" caption="__XL_Count Fixtures" measure="1" displayFolder="" measureGroup="Fixtures" count="0" hidden="1"/>
    <cacheHierarchy uniqueName="[Measures].[__XL_Count Players]" caption="__XL_Count Players" measure="1" displayFolder="" measureGroup="Players" count="0" hidden="1"/>
    <cacheHierarchy uniqueName="[Measures].[__XL_Count Players 1]" caption="__XL_Count Players 1" measure="1" displayFolder="" measureGroup="Players 1" count="0" hidden="1"/>
    <cacheHierarchy uniqueName="[Measures].[__XL_Count Fixtures 1]" caption="__XL_Count Fixtures 1" measure="1" displayFolder="" measureGroup="Fixtures 1" count="0" hidden="1"/>
    <cacheHierarchy uniqueName="[Measures].[__No measures defined]" caption="__No measures defined" measure="1" displayFolder="" count="0" hidden="1"/>
    <cacheHierarchy uniqueName="[Measures].[Sum of points]" caption="Sum of points" measure="1" displayFolder="" measureGroup="Players" count="0" hidden="1">
      <extLst>
        <ext xmlns:x15="http://schemas.microsoft.com/office/spreadsheetml/2010/11/main" uri="{B97F6D7D-B522-45F9-BDA1-12C45D357490}">
          <x15:cacheHierarchy aggregatedColumn="24"/>
        </ext>
      </extLst>
    </cacheHierarchy>
    <cacheHierarchy uniqueName="[Measures].[Sum of price_m]" caption="Sum of price_m" measure="1" displayFolder="" measureGroup="Players" count="0" hidden="1">
      <extLst>
        <ext xmlns:x15="http://schemas.microsoft.com/office/spreadsheetml/2010/11/main" uri="{B97F6D7D-B522-45F9-BDA1-12C45D357490}">
          <x15:cacheHierarchy aggregatedColumn="15"/>
        </ext>
      </extLst>
    </cacheHierarchy>
    <cacheHierarchy uniqueName="[Measures].[Max of price_m]" caption="Max of price_m" measure="1" displayFolder="" measureGroup="Players" count="0" hidden="1">
      <extLst>
        <ext xmlns:x15="http://schemas.microsoft.com/office/spreadsheetml/2010/11/main" uri="{B97F6D7D-B522-45F9-BDA1-12C45D357490}">
          <x15:cacheHierarchy aggregatedColumn="15"/>
        </ext>
      </extLst>
    </cacheHierarchy>
    <cacheHierarchy uniqueName="[Measures].[Sum of points_per_million]" caption="Sum of points_per_million" measure="1" displayFolder="" measureGroup="Players" count="0" hidden="1">
      <extLst>
        <ext xmlns:x15="http://schemas.microsoft.com/office/spreadsheetml/2010/11/main" uri="{B97F6D7D-B522-45F9-BDA1-12C45D357490}">
          <x15:cacheHierarchy aggregatedColumn="29"/>
        </ext>
      </extLst>
    </cacheHierarchy>
    <cacheHierarchy uniqueName="[Measures].[Average of points_per_million]" caption="Average of points_per_million" measure="1" displayFolder="" measureGroup="Players" count="0" oneField="1" hidden="1">
      <fieldsUsage count="1">
        <fieldUsage x="5"/>
      </fieldsUsage>
      <extLst>
        <ext xmlns:x15="http://schemas.microsoft.com/office/spreadsheetml/2010/11/main" uri="{B97F6D7D-B522-45F9-BDA1-12C45D357490}">
          <x15:cacheHierarchy aggregatedColumn="29"/>
        </ext>
      </extLst>
    </cacheHierarchy>
    <cacheHierarchy uniqueName="[Measures].[Average of points]" caption="Average of points" measure="1" displayFolder="" measureGroup="Players" count="0" oneField="1" hidden="1">
      <fieldsUsage count="1">
        <fieldUsage x="3"/>
      </fieldsUsage>
      <extLst>
        <ext xmlns:x15="http://schemas.microsoft.com/office/spreadsheetml/2010/11/main" uri="{B97F6D7D-B522-45F9-BDA1-12C45D357490}">
          <x15:cacheHierarchy aggregatedColumn="24"/>
        </ext>
      </extLst>
    </cacheHierarchy>
    <cacheHierarchy uniqueName="[Measures].[Average of price_m]" caption="Average of price_m" measure="1" displayFolder="" measureGroup="Players"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gameweek_id]" caption="Sum of gameweek_id" measure="1" displayFolder="" measureGroup="Fixtures" count="0" hidden="1">
      <extLst>
        <ext xmlns:x15="http://schemas.microsoft.com/office/spreadsheetml/2010/11/main" uri="{B97F6D7D-B522-45F9-BDA1-12C45D357490}">
          <x15:cacheHierarchy aggregatedColumn="2"/>
        </ext>
      </extLst>
    </cacheHierarchy>
    <cacheHierarchy uniqueName="[Measures].[Sum of difficulty]" caption="Sum of difficulty" measure="1" displayFolder="" measureGroup="Fixtures" count="0" hidden="1">
      <extLst>
        <ext xmlns:x15="http://schemas.microsoft.com/office/spreadsheetml/2010/11/main" uri="{B97F6D7D-B522-45F9-BDA1-12C45D357490}">
          <x15:cacheHierarchy aggregatedColumn="3"/>
        </ext>
      </extLst>
    </cacheHierarchy>
    <cacheHierarchy uniqueName="[Measures].[Average of difficulty]" caption="Average of difficulty" measure="1" displayFolder="" measureGroup="Fixtures" count="0" hidden="1">
      <extLst>
        <ext xmlns:x15="http://schemas.microsoft.com/office/spreadsheetml/2010/11/main" uri="{B97F6D7D-B522-45F9-BDA1-12C45D357490}">
          <x15:cacheHierarchy aggregatedColumn="3"/>
        </ext>
      </extLst>
    </cacheHierarchy>
  </cacheHierarchies>
  <kpis count="0"/>
  <dimensions count="5">
    <dimension name="Fixtures" uniqueName="[Fixtures]" caption="Fixtures"/>
    <dimension name="Fixtures 1" uniqueName="[Fixtures 1]" caption="Fixtures 1"/>
    <dimension measure="1" name="Measures" uniqueName="[Measures]" caption="Measures"/>
    <dimension name="Players" uniqueName="[Players]" caption="Players"/>
    <dimension name="Players 1" uniqueName="[Players 1]" caption="Players 1"/>
  </dimensions>
  <measureGroups count="4">
    <measureGroup name="Fixtures" caption="Fixtures"/>
    <measureGroup name="Fixtures 1" caption="Fixtures 1"/>
    <measureGroup name="Players" caption="Players"/>
    <measureGroup name="Players 1" caption="Players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2.761270254632" backgroundQuery="1" createdVersion="3" refreshedVersion="8" minRefreshableVersion="3" recordCount="0" supportSubquery="1" supportAdvancedDrill="1" xr:uid="{7CBAC139-1192-4EF3-8776-9F2BFC1662E5}">
  <cacheSource type="external" connectionId="7">
    <extLst>
      <ext xmlns:x14="http://schemas.microsoft.com/office/spreadsheetml/2009/9/main" uri="{F057638F-6D5F-4e77-A914-E7F072B9BCA8}">
        <x14:sourceConnection name="ThisWorkbookDataModel"/>
      </ext>
    </extLst>
  </cacheSource>
  <cacheFields count="0"/>
  <cacheHierarchies count="65">
    <cacheHierarchy uniqueName="[Fixtures].[team_name]" caption="team_name" attribute="1" defaultMemberUniqueName="[Fixtures].[team_name].[All]" allUniqueName="[Fixtures].[team_name].[All]" dimensionUniqueName="[Fixtures]" displayFolder="" count="0" memberValueDatatype="130" unbalanced="0"/>
    <cacheHierarchy uniqueName="[Fixtures].[opponent_name]" caption="opponent_name" attribute="1" defaultMemberUniqueName="[Fixtures].[opponent_name].[All]" allUniqueName="[Fixtures].[opponent_name].[All]" dimensionUniqueName="[Fixtures]" displayFolder="" count="0" memberValueDatatype="130" unbalanced="0"/>
    <cacheHierarchy uniqueName="[Fixtures].[gameweek_id]" caption="gameweek_id" attribute="1" defaultMemberUniqueName="[Fixtures].[gameweek_id].[All]" allUniqueName="[Fixtures].[gameweek_id].[All]" dimensionUniqueName="[Fixtures]" displayFolder="" count="0" memberValueDatatype="20" unbalanced="0"/>
    <cacheHierarchy uniqueName="[Fixtures].[difficulty]" caption="difficulty" attribute="1" defaultMemberUniqueName="[Fixtures].[difficulty].[All]" allUniqueName="[Fixtures].[difficulty].[All]" dimensionUniqueName="[Fixtures]" displayFolder="" count="0" memberValueDatatype="20" unbalanced="0"/>
    <cacheHierarchy uniqueName="[Fixtures].[venue]" caption="venue" attribute="1" defaultMemberUniqueName="[Fixtures].[venue].[All]" allUniqueName="[Fixtures].[venue].[All]" dimensionUniqueName="[Fixtures]" displayFolder="" count="0" memberValueDatatype="130" unbalanced="0"/>
    <cacheHierarchy uniqueName="[Fixtures].[fixture_label]" caption="fixture_label" attribute="1" defaultMemberUniqueName="[Fixtures].[fixture_label].[All]" allUniqueName="[Fixtures].[fixture_label].[All]" dimensionUniqueName="[Fixtures]" displayFolder="" count="0" memberValueDatatype="130" unbalanced="0"/>
    <cacheHierarchy uniqueName="[Fixtures 1].[team_name]" caption="team_name" attribute="1" defaultMemberUniqueName="[Fixtures 1].[team_name].[All]" allUniqueName="[Fixtures 1].[team_name].[All]" dimensionUniqueName="[Fixtures 1]" displayFolder="" count="0" memberValueDatatype="130" unbalanced="0"/>
    <cacheHierarchy uniqueName="[Fixtures 1].[opponent_name]" caption="opponent_name" attribute="1" defaultMemberUniqueName="[Fixtures 1].[opponent_name].[All]" allUniqueName="[Fixtures 1].[opponent_name].[All]" dimensionUniqueName="[Fixtures 1]" displayFolder="" count="0" memberValueDatatype="130" unbalanced="0"/>
    <cacheHierarchy uniqueName="[Fixtures 1].[gameweek_id]" caption="gameweek_id" attribute="1" defaultMemberUniqueName="[Fixtures 1].[gameweek_id].[All]" allUniqueName="[Fixtures 1].[gameweek_id].[All]" dimensionUniqueName="[Fixtures 1]" displayFolder="" count="0" memberValueDatatype="20" unbalanced="0"/>
    <cacheHierarchy uniqueName="[Fixtures 1].[difficulty]" caption="difficulty" attribute="1" defaultMemberUniqueName="[Fixtures 1].[difficulty].[All]" allUniqueName="[Fixtures 1].[difficulty].[All]" dimensionUniqueName="[Fixtures 1]" displayFolder="" count="0" memberValueDatatype="20" unbalanced="0"/>
    <cacheHierarchy uniqueName="[Fixtures 1].[venue]" caption="venue" attribute="1" defaultMemberUniqueName="[Fixtures 1].[venue].[All]" allUniqueName="[Fixtures 1].[venue].[All]" dimensionUniqueName="[Fixtures 1]" displayFolder="" count="0" memberValueDatatype="130" unbalanced="0"/>
    <cacheHierarchy uniqueName="[Fixtures 1].[fixture_label]" caption="fixture_label" attribute="1" defaultMemberUniqueName="[Fixtures 1].[fixture_label].[All]" allUniqueName="[Fixtures 1].[fixture_label].[All]" dimensionUniqueName="[Fixtures 1]" displayFolder="" count="0" memberValueDatatype="130" unbalanced="0"/>
    <cacheHierarchy uniqueName="[Players].[player_id]" caption="player_id" attribute="1" defaultMemberUniqueName="[Players].[player_id].[All]" allUniqueName="[Players].[player_id].[All]" dimensionUniqueName="[Players]" displayFolder="" count="0" memberValueDatatype="20" unbalanced="0"/>
    <cacheHierarchy uniqueName="[Players].[web_name]" caption="web_name" attribute="1" defaultMemberUniqueName="[Players].[web_name].[All]" allUniqueName="[Players].[web_name].[All]" dimensionUniqueName="[Players]" displayFolder="" count="0" memberValueDatatype="130" unbalanced="0"/>
    <cacheHierarchy uniqueName="[Players].[full_name]" caption="full_name" attribute="1" defaultMemberUniqueName="[Players].[full_name].[All]" allUniqueName="[Players].[full_name].[All]" dimensionUniqueName="[Players]" displayFolder="" count="0" memberValueDatatype="130" unbalanced="0"/>
    <cacheHierarchy uniqueName="[Players].[price_m]" caption="price_m" attribute="1" defaultMemberUniqueName="[Players].[price_m].[All]" allUniqueName="[Players].[price_m].[All]" dimensionUniqueName="[Players]" displayFolder="" count="0" memberValueDatatype="5" unbalanced="0"/>
    <cacheHierarchy uniqueName="[Players].[selected_by_percent]" caption="selected_by_percent" attribute="1" defaultMemberUniqueName="[Players].[selected_by_percent].[All]" allUniqueName="[Players].[selected_by_percent].[All]" dimensionUniqueName="[Players]" displayFolder="" count="0" memberValueDatatype="5" unbalanced="0"/>
    <cacheHierarchy uniqueName="[Players].[status]" caption="status" attribute="1" defaultMemberUniqueName="[Players].[status].[All]" allUniqueName="[Players].[status].[All]" dimensionUniqueName="[Players]" displayFolder="" count="0" memberValueDatatype="130" unbalanced="0"/>
    <cacheHierarchy uniqueName="[Players].[team_name]" caption="team_name" attribute="1" defaultMemberUniqueName="[Players].[team_name].[All]" allUniqueName="[Players].[team_name].[All]" dimensionUniqueName="[Players]" displayFolder="" count="0" memberValueDatatype="130" unbalanced="0"/>
    <cacheHierarchy uniqueName="[Players].[position_short]" caption="position_short" attribute="1" defaultMemberUniqueName="[Players].[position_short].[All]" allUniqueName="[Players].[position_short].[All]" dimensionUniqueName="[Players]" displayFolder="" count="0" memberValueDatatype="130" unbalanced="0"/>
    <cacheHierarchy uniqueName="[Players].[position_name]" caption="position_name" attribute="1" defaultMemberUniqueName="[Players].[position_name].[All]" allUniqueName="[Players].[position_name].[All]" dimensionUniqueName="[Players]" displayFolder="" count="0" memberValueDatatype="130" unbalanced="0"/>
    <cacheHierarchy uniqueName="[Players].[fixtures]" caption="fixtures" attribute="1" defaultMemberUniqueName="[Players].[fixtures].[All]" allUniqueName="[Players].[fixtures].[All]" dimensionUniqueName="[Players]" displayFolder="" count="0" memberValueDatatype="130" unbalanced="0"/>
    <cacheHierarchy uniqueName="[Players].[appearances]" caption="appearances" attribute="1" defaultMemberUniqueName="[Players].[appearances].[All]" allUniqueName="[Players].[appearances].[All]" dimensionUniqueName="[Players]" displayFolder="" count="0" memberValueDatatype="130" unbalanced="0"/>
    <cacheHierarchy uniqueName="[Players].[minutes]" caption="minutes" attribute="1" defaultMemberUniqueName="[Players].[minutes].[All]" allUniqueName="[Players].[minutes].[All]" dimensionUniqueName="[Players]" displayFolder="" count="0" memberValueDatatype="20" unbalanced="0"/>
    <cacheHierarchy uniqueName="[Players].[points]" caption="points" attribute="1" defaultMemberUniqueName="[Players].[points].[All]" allUniqueName="[Players].[points].[All]" dimensionUniqueName="[Players]" displayFolder="" count="0" memberValueDatatype="20" unbalanced="0"/>
    <cacheHierarchy uniqueName="[Players].[goals]" caption="goals" attribute="1" defaultMemberUniqueName="[Players].[goals].[All]" allUniqueName="[Players].[goals].[All]" dimensionUniqueName="[Players]" displayFolder="" count="0" memberValueDatatype="130" unbalanced="0"/>
    <cacheHierarchy uniqueName="[Players].[assists]" caption="assists" attribute="1" defaultMemberUniqueName="[Players].[assists].[All]" allUniqueName="[Players].[assists].[All]" dimensionUniqueName="[Players]" displayFolder="" count="0" memberValueDatatype="130" unbalanced="0"/>
    <cacheHierarchy uniqueName="[Players].[clean_sheets]" caption="clean_sheets" attribute="1" defaultMemberUniqueName="[Players].[clean_sheets].[All]" allUniqueName="[Players].[clean_sheets].[All]" dimensionUniqueName="[Players]" displayFolder="" count="0" memberValueDatatype="130" unbalanced="0"/>
    <cacheHierarchy uniqueName="[Players].[bonus]" caption="bonus" attribute="1" defaultMemberUniqueName="[Players].[bonus].[All]" allUniqueName="[Players].[bonus].[All]" dimensionUniqueName="[Players]" displayFolder="" count="0" memberValueDatatype="130" unbalanced="0"/>
    <cacheHierarchy uniqueName="[Players].[points_per_million]" caption="points_per_million" attribute="1" defaultMemberUniqueName="[Players].[points_per_million].[All]" allUniqueName="[Players].[points_per_million].[All]" dimensionUniqueName="[Players]" displayFolder="" count="0" memberValueDatatype="5" unbalanced="0"/>
    <cacheHierarchy uniqueName="[Players].[price_band]" caption="price_band" attribute="1" defaultMemberUniqueName="[Players].[price_band].[All]" allUniqueName="[Players].[price_band].[All]" dimensionUniqueName="[Players]" displayFolder="" count="0" memberValueDatatype="130" unbalanced="0"/>
    <cacheHierarchy uniqueName="[Players 1].[player_id]" caption="player_id" attribute="1" defaultMemberUniqueName="[Players 1].[player_id].[All]" allUniqueName="[Players 1].[player_id].[All]" dimensionUniqueName="[Players 1]" displayFolder="" count="0" memberValueDatatype="20" unbalanced="0"/>
    <cacheHierarchy uniqueName="[Players 1].[web_name]" caption="web_name" attribute="1" defaultMemberUniqueName="[Players 1].[web_name].[All]" allUniqueName="[Players 1].[web_name].[All]" dimensionUniqueName="[Players 1]" displayFolder="" count="0" memberValueDatatype="130" unbalanced="0"/>
    <cacheHierarchy uniqueName="[Players 1].[full_name]" caption="full_name" attribute="1" defaultMemberUniqueName="[Players 1].[full_name].[All]" allUniqueName="[Players 1].[full_name].[All]" dimensionUniqueName="[Players 1]" displayFolder="" count="0" memberValueDatatype="130" unbalanced="0"/>
    <cacheHierarchy uniqueName="[Players 1].[price_m]" caption="price_m" attribute="1" defaultMemberUniqueName="[Players 1].[price_m].[All]" allUniqueName="[Players 1].[price_m].[All]" dimensionUniqueName="[Players 1]" displayFolder="" count="0" memberValueDatatype="5" unbalanced="0"/>
    <cacheHierarchy uniqueName="[Players 1].[selected_by_percent]" caption="selected_by_percent" attribute="1" defaultMemberUniqueName="[Players 1].[selected_by_percent].[All]" allUniqueName="[Players 1].[selected_by_percent].[All]" dimensionUniqueName="[Players 1]" displayFolder="" count="0" memberValueDatatype="5" unbalanced="0"/>
    <cacheHierarchy uniqueName="[Players 1].[status]" caption="status" attribute="1" defaultMemberUniqueName="[Players 1].[status].[All]" allUniqueName="[Players 1].[status].[All]" dimensionUniqueName="[Players 1]" displayFolder="" count="0" memberValueDatatype="130" unbalanced="0"/>
    <cacheHierarchy uniqueName="[Players 1].[team_name]" caption="team_name" attribute="1" defaultMemberUniqueName="[Players 1].[team_name].[All]" allUniqueName="[Players 1].[team_name].[All]" dimensionUniqueName="[Players 1]" displayFolder="" count="0" memberValueDatatype="130" unbalanced="0"/>
    <cacheHierarchy uniqueName="[Players 1].[position_short]" caption="position_short" attribute="1" defaultMemberUniqueName="[Players 1].[position_short].[All]" allUniqueName="[Players 1].[position_short].[All]" dimensionUniqueName="[Players 1]" displayFolder="" count="0" memberValueDatatype="130" unbalanced="0"/>
    <cacheHierarchy uniqueName="[Players 1].[position_name]" caption="position_name" attribute="1" defaultMemberUniqueName="[Players 1].[position_name].[All]" allUniqueName="[Players 1].[position_name].[All]" dimensionUniqueName="[Players 1]" displayFolder="" count="0" memberValueDatatype="130" unbalanced="0"/>
    <cacheHierarchy uniqueName="[Players 1].[fixtures]" caption="fixtures" attribute="1" defaultMemberUniqueName="[Players 1].[fixtures].[All]" allUniqueName="[Players 1].[fixtures].[All]" dimensionUniqueName="[Players 1]" displayFolder="" count="0" memberValueDatatype="130" unbalanced="0"/>
    <cacheHierarchy uniqueName="[Players 1].[appearances]" caption="appearances" attribute="1" defaultMemberUniqueName="[Players 1].[appearances].[All]" allUniqueName="[Players 1].[appearances].[All]" dimensionUniqueName="[Players 1]" displayFolder="" count="0" memberValueDatatype="130" unbalanced="0"/>
    <cacheHierarchy uniqueName="[Players 1].[minutes]" caption="minutes" attribute="1" defaultMemberUniqueName="[Players 1].[minutes].[All]" allUniqueName="[Players 1].[minutes].[All]" dimensionUniqueName="[Players 1]" displayFolder="" count="0" memberValueDatatype="20" unbalanced="0"/>
    <cacheHierarchy uniqueName="[Players 1].[points]" caption="points" attribute="1" defaultMemberUniqueName="[Players 1].[points].[All]" allUniqueName="[Players 1].[points].[All]" dimensionUniqueName="[Players 1]" displayFolder="" count="0" memberValueDatatype="20" unbalanced="0"/>
    <cacheHierarchy uniqueName="[Players 1].[goals]" caption="goals" attribute="1" defaultMemberUniqueName="[Players 1].[goals].[All]" allUniqueName="[Players 1].[goals].[All]" dimensionUniqueName="[Players 1]" displayFolder="" count="0" memberValueDatatype="130" unbalanced="0"/>
    <cacheHierarchy uniqueName="[Players 1].[assists]" caption="assists" attribute="1" defaultMemberUniqueName="[Players 1].[assists].[All]" allUniqueName="[Players 1].[assists].[All]" dimensionUniqueName="[Players 1]" displayFolder="" count="0" memberValueDatatype="130" unbalanced="0"/>
    <cacheHierarchy uniqueName="[Players 1].[clean_sheets]" caption="clean_sheets" attribute="1" defaultMemberUniqueName="[Players 1].[clean_sheets].[All]" allUniqueName="[Players 1].[clean_sheets].[All]" dimensionUniqueName="[Players 1]" displayFolder="" count="0" memberValueDatatype="130" unbalanced="0"/>
    <cacheHierarchy uniqueName="[Players 1].[bonus]" caption="bonus" attribute="1" defaultMemberUniqueName="[Players 1].[bonus].[All]" allUniqueName="[Players 1].[bonus].[All]" dimensionUniqueName="[Players 1]" displayFolder="" count="0" memberValueDatatype="130" unbalanced="0"/>
    <cacheHierarchy uniqueName="[Players 1].[points_per_million]" caption="points_per_million" attribute="1" defaultMemberUniqueName="[Players 1].[points_per_million].[All]" allUniqueName="[Players 1].[points_per_million].[All]" dimensionUniqueName="[Players 1]" displayFolder="" count="0" memberValueDatatype="5" unbalanced="0"/>
    <cacheHierarchy uniqueName="[Players 1].[price_band]" caption="price_band" attribute="1" defaultMemberUniqueName="[Players 1].[price_band].[All]" allUniqueName="[Players 1].[price_band].[All]" dimensionUniqueName="[Players 1]" displayFolder="" count="0" memberValueDatatype="130" unbalanced="0"/>
    <cacheHierarchy uniqueName="[Measures].[__XL_Count Fixtures]" caption="__XL_Count Fixtures" measure="1" displayFolder="" measureGroup="Fixtures" count="0" hidden="1"/>
    <cacheHierarchy uniqueName="[Measures].[__XL_Count Players]" caption="__XL_Count Players" measure="1" displayFolder="" measureGroup="Players" count="0" hidden="1"/>
    <cacheHierarchy uniqueName="[Measures].[__XL_Count Players 1]" caption="__XL_Count Players 1" measure="1" displayFolder="" measureGroup="Players 1" count="0" hidden="1"/>
    <cacheHierarchy uniqueName="[Measures].[__XL_Count Fixtures 1]" caption="__XL_Count Fixtures 1" measure="1" displayFolder="" measureGroup="Fixtures 1" count="0" hidden="1"/>
    <cacheHierarchy uniqueName="[Measures].[__No measures defined]" caption="__No measures defined" measure="1" displayFolder="" count="0" hidden="1"/>
    <cacheHierarchy uniqueName="[Measures].[Sum of points]" caption="Sum of points" measure="1" displayFolder="" measureGroup="Players" count="0" hidden="1">
      <extLst>
        <ext xmlns:x15="http://schemas.microsoft.com/office/spreadsheetml/2010/11/main" uri="{B97F6D7D-B522-45F9-BDA1-12C45D357490}">
          <x15:cacheHierarchy aggregatedColumn="24"/>
        </ext>
      </extLst>
    </cacheHierarchy>
    <cacheHierarchy uniqueName="[Measures].[Sum of price_m]" caption="Sum of price_m" measure="1" displayFolder="" measureGroup="Players" count="0" hidden="1">
      <extLst>
        <ext xmlns:x15="http://schemas.microsoft.com/office/spreadsheetml/2010/11/main" uri="{B97F6D7D-B522-45F9-BDA1-12C45D357490}">
          <x15:cacheHierarchy aggregatedColumn="15"/>
        </ext>
      </extLst>
    </cacheHierarchy>
    <cacheHierarchy uniqueName="[Measures].[Max of price_m]" caption="Max of price_m" measure="1" displayFolder="" measureGroup="Players" count="0" hidden="1">
      <extLst>
        <ext xmlns:x15="http://schemas.microsoft.com/office/spreadsheetml/2010/11/main" uri="{B97F6D7D-B522-45F9-BDA1-12C45D357490}">
          <x15:cacheHierarchy aggregatedColumn="15"/>
        </ext>
      </extLst>
    </cacheHierarchy>
    <cacheHierarchy uniqueName="[Measures].[Sum of points_per_million]" caption="Sum of points_per_million" measure="1" displayFolder="" measureGroup="Players" count="0" hidden="1">
      <extLst>
        <ext xmlns:x15="http://schemas.microsoft.com/office/spreadsheetml/2010/11/main" uri="{B97F6D7D-B522-45F9-BDA1-12C45D357490}">
          <x15:cacheHierarchy aggregatedColumn="29"/>
        </ext>
      </extLst>
    </cacheHierarchy>
    <cacheHierarchy uniqueName="[Measures].[Average of points_per_million]" caption="Average of points_per_million" measure="1" displayFolder="" measureGroup="Players" count="0" hidden="1">
      <extLst>
        <ext xmlns:x15="http://schemas.microsoft.com/office/spreadsheetml/2010/11/main" uri="{B97F6D7D-B522-45F9-BDA1-12C45D357490}">
          <x15:cacheHierarchy aggregatedColumn="29"/>
        </ext>
      </extLst>
    </cacheHierarchy>
    <cacheHierarchy uniqueName="[Measures].[Average of points]" caption="Average of points" measure="1" displayFolder="" measureGroup="Players" count="0" hidden="1">
      <extLst>
        <ext xmlns:x15="http://schemas.microsoft.com/office/spreadsheetml/2010/11/main" uri="{B97F6D7D-B522-45F9-BDA1-12C45D357490}">
          <x15:cacheHierarchy aggregatedColumn="24"/>
        </ext>
      </extLst>
    </cacheHierarchy>
    <cacheHierarchy uniqueName="[Measures].[Average of price_m]" caption="Average of price_m" measure="1" displayFolder="" measureGroup="Players" count="0" hidden="1">
      <extLst>
        <ext xmlns:x15="http://schemas.microsoft.com/office/spreadsheetml/2010/11/main" uri="{B97F6D7D-B522-45F9-BDA1-12C45D357490}">
          <x15:cacheHierarchy aggregatedColumn="15"/>
        </ext>
      </extLst>
    </cacheHierarchy>
    <cacheHierarchy uniqueName="[Measures].[Sum of gameweek_id]" caption="Sum of gameweek_id" measure="1" displayFolder="" measureGroup="Fixtures" count="0" hidden="1">
      <extLst>
        <ext xmlns:x15="http://schemas.microsoft.com/office/spreadsheetml/2010/11/main" uri="{B97F6D7D-B522-45F9-BDA1-12C45D357490}">
          <x15:cacheHierarchy aggregatedColumn="2"/>
        </ext>
      </extLst>
    </cacheHierarchy>
    <cacheHierarchy uniqueName="[Measures].[Sum of difficulty]" caption="Sum of difficulty" measure="1" displayFolder="" measureGroup="Fixtures" count="0" hidden="1">
      <extLst>
        <ext xmlns:x15="http://schemas.microsoft.com/office/spreadsheetml/2010/11/main" uri="{B97F6D7D-B522-45F9-BDA1-12C45D357490}">
          <x15:cacheHierarchy aggregatedColumn="3"/>
        </ext>
      </extLst>
    </cacheHierarchy>
    <cacheHierarchy uniqueName="[Measures].[Average of difficulty]" caption="Average of difficulty" measure="1" displayFolder="" measureGroup="Fixtures" count="0" hidden="1">
      <extLst>
        <ext xmlns:x15="http://schemas.microsoft.com/office/spreadsheetml/2010/11/main" uri="{B97F6D7D-B522-45F9-BDA1-12C45D357490}">
          <x15:cacheHierarchy aggregatedColumn="3"/>
        </ext>
      </extLst>
    </cacheHierarchy>
  </cacheHierarchies>
  <kpis count="0"/>
  <dimensions count="5">
    <dimension name="Fixtures" uniqueName="[Fixtures]" caption="Fixtures"/>
    <dimension name="Fixtures 1" uniqueName="[Fixtures 1]" caption="Fixtures 1"/>
    <dimension measure="1" name="Measures" uniqueName="[Measures]" caption="Measures"/>
    <dimension name="Players" uniqueName="[Players]" caption="Players"/>
    <dimension name="Players 1" uniqueName="[Players 1]" caption="Players 1"/>
  </dimensions>
  <measureGroups count="4">
    <measureGroup name="Fixtures" caption="Fixtures"/>
    <measureGroup name="Fixtures 1" caption="Fixtures 1"/>
    <measureGroup name="Players" caption="Players"/>
    <measureGroup name="Players 1" caption="Players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licerData="1" pivotCacheId="16807867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7AB150-9DC4-4A22-BFC8-0D7C75CCBB0F}" name="PivotTable3" cacheId="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27">
  <location ref="A14:D24" firstHeaderRow="0" firstDataRow="1" firstDataCol="1" rowPageCount="1" colPageCount="1"/>
  <pivotFields count="6">
    <pivotField axis="axisPage" compact="0" allDrilled="1" outline="0" subtotalTop="0" showAll="0" dataSourceSort="1" defaultSubtotal="0" defaultAttributeDrillState="1"/>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1"/>
  </rowFields>
  <rowItems count="10">
    <i>
      <x v="1"/>
    </i>
    <i>
      <x v="4"/>
    </i>
    <i>
      <x v="2"/>
    </i>
    <i>
      <x v="8"/>
    </i>
    <i>
      <x v="7"/>
    </i>
    <i>
      <x v="5"/>
    </i>
    <i>
      <x/>
    </i>
    <i>
      <x v="9"/>
    </i>
    <i>
      <x v="3"/>
    </i>
    <i>
      <x v="6"/>
    </i>
  </rowItems>
  <colFields count="1">
    <field x="-2"/>
  </colFields>
  <colItems count="3">
    <i>
      <x/>
    </i>
    <i i="1">
      <x v="1"/>
    </i>
    <i i="2">
      <x v="2"/>
    </i>
  </colItems>
  <pageFields count="1">
    <pageField fld="0" hier="19" name="[Players].[position_short].[All]" cap="All"/>
  </pageFields>
  <dataFields count="3">
    <dataField name="Points" fld="2" baseField="0" baseItem="0"/>
    <dataField name="Price" fld="3" subtotal="max" baseField="0" baseItem="0" numFmtId="165"/>
    <dataField name="Avg pts/£m" fld="4" subtotal="average" baseField="0" baseItem="0" numFmtId="2"/>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oints"/>
    <pivotHierarchy dragToData="1"/>
    <pivotHierarchy dragToData="1" caption="Price"/>
    <pivotHierarchy dragToData="1"/>
    <pivotHierarchy dragToData="1" caption="Avg pts/£m"/>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9">
      <autoFilter ref="A1">
        <filterColumn colId="0">
          <top10 val="10" filterVal="10"/>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EB6D97-6CF4-4046-9202-0F4A6D2C6BC7}" name="PivotTable2" cacheId="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A5:D9" firstHeaderRow="0" firstDataRow="1" firstDataCol="1"/>
  <pivotFields count="6">
    <pivotField axis="axisRow" compact="0" allDrilled="1" outline="0" subtotalTop="0" showAll="0" dataSourceSort="1" defaultSubtotal="0" defaultAttributeDrillState="1">
      <items count="4">
        <item x="0"/>
        <item x="1"/>
        <item x="2"/>
        <item x="3"/>
      </items>
    </pivotField>
    <pivotField compact="0" allDrilled="1" outline="0" subtotalTop="0" showAll="0" measureFilter="1"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compact="0" allDrilled="1" outline="0" subtotalTop="0" showAll="0" dataSourceSort="1" defaultSubtotal="0" defaultAttributeDrillState="1"/>
    <pivotField dataField="1" compact="0" outline="0" subtotalTop="0" showAll="0" defaultSubtotal="0"/>
    <pivotField dataField="1" compact="0" outline="0" subtotalTop="0" showAll="0" defaultSubtotal="0"/>
    <pivotField dataField="1" compact="0" outline="0" subtotalTop="0" showAll="0" defaultSubtotal="0"/>
  </pivotFields>
  <rowFields count="1">
    <field x="0"/>
  </rowFields>
  <rowItems count="4">
    <i>
      <x/>
    </i>
    <i>
      <x v="1"/>
    </i>
    <i>
      <x v="2"/>
    </i>
    <i>
      <x v="3"/>
    </i>
  </rowItems>
  <colFields count="1">
    <field x="-2"/>
  </colFields>
  <colItems count="3">
    <i>
      <x/>
    </i>
    <i i="1">
      <x v="1"/>
    </i>
    <i i="2">
      <x v="2"/>
    </i>
  </colItems>
  <dataFields count="3">
    <dataField name="Avg points" fld="3" subtotal="average" baseField="0" baseItem="0" numFmtId="164"/>
    <dataField name="Avg price" fld="4" subtotal="average" baseField="0" baseItem="0" numFmtId="165"/>
    <dataField name="Avg pts/£m" fld="5" subtotal="average" baseField="0" baseItem="0" numFmtId="166"/>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g pts/£m"/>
    <pivotHierarchy dragToData="1" caption="Avg points"/>
    <pivotHierarchy dragToData="1" caption="Avg price"/>
    <pivotHierarchy dragToData="1"/>
    <pivotHierarchy dragToData="1"/>
    <pivotHierarchy dragToData="1"/>
  </pivotHierarchies>
  <pivotTableStyleInfo name="PivotStyleLight16" showRowHeaders="1" showColHeaders="1" showRowStripes="0" showColStripes="0" showLastColumn="1"/>
  <filters count="1">
    <filter fld="1" type="count" id="1" iMeasureHier="55">
      <autoFilter ref="A1">
        <filterColumn colId="0">
          <top10 val="10" filterVal="10"/>
        </filterColumn>
      </autoFilter>
    </filter>
  </filters>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FDBF5EF2-A3F8-41F9-B7BF-9483AE27891F}" autoFormatId="16" applyNumberFormats="0" applyBorderFormats="0" applyFontFormats="0" applyPatternFormats="0" applyAlignmentFormats="0" applyWidthHeightFormats="0">
  <queryTableRefresh nextId="22">
    <queryTableFields count="21">
      <queryTableField id="1" name="player_id" tableColumnId="1"/>
      <queryTableField id="2" name="web_name" tableColumnId="2"/>
      <queryTableField id="3" name="full_name" tableColumnId="3"/>
      <queryTableField id="4" name="price_m" tableColumnId="4"/>
      <queryTableField id="21" dataBound="0" tableColumnId="20"/>
      <queryTableField id="20" dataBound="0" tableColumnId="21"/>
      <queryTableField id="5" name="selected_by_percent" tableColumnId="5"/>
      <queryTableField id="6" name="status" tableColumnId="6"/>
      <queryTableField id="7" name="team_name" tableColumnId="7"/>
      <queryTableField id="8" name="position_short" tableColumnId="8"/>
      <queryTableField id="9" name="position_name" tableColumnId="9"/>
      <queryTableField id="10" name="fixtures" tableColumnId="10"/>
      <queryTableField id="11" name="appearances" tableColumnId="11"/>
      <queryTableField id="12" name="minutes" tableColumnId="12"/>
      <queryTableField id="13" name="points" tableColumnId="13"/>
      <queryTableField id="14" name="goals" tableColumnId="14"/>
      <queryTableField id="15" name="assists" tableColumnId="15"/>
      <queryTableField id="16" name="clean_sheets" tableColumnId="16"/>
      <queryTableField id="17" name="bonus" tableColumnId="17"/>
      <queryTableField id="18" name="points_per_million" tableColumnId="18"/>
      <queryTableField id="19" name="price_band" tableColumnId="19"/>
    </queryTableFields>
  </queryTableRefresh>
  <extLst>
    <ext xmlns:x15="http://schemas.microsoft.com/office/spreadsheetml/2010/11/main" uri="{883FBD77-0823-4a55-B5E3-86C4891E6966}">
      <x15:queryTable sourceDataName="Query - Play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243916F0-4AF8-4035-BEDB-E6F5BDA5092D}" autoFormatId="16" applyNumberFormats="0" applyBorderFormats="0" applyFontFormats="0" applyPatternFormats="0" applyAlignmentFormats="0" applyWidthHeightFormats="0">
  <queryTableRefresh nextId="8">
    <queryTableFields count="6">
      <queryTableField id="1" name="team_name" tableColumnId="1"/>
      <queryTableField id="5" name="opponent_name" tableColumnId="5"/>
      <queryTableField id="2" name="gameweek_id" tableColumnId="2"/>
      <queryTableField id="3" name="difficulty" tableColumnId="3"/>
      <queryTableField id="4" name="venue" tableColumnId="4"/>
      <queryTableField id="6" name="fixture_label" tableColumnId="6"/>
    </queryTableFields>
  </queryTableRefresh>
  <extLst>
    <ext xmlns:x15="http://schemas.microsoft.com/office/spreadsheetml/2010/11/main" uri="{883FBD77-0823-4a55-B5E3-86C4891E6966}">
      <x15:queryTable sourceDataName="Query - Fixture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6" xr16:uid="{7059094F-37E2-4998-9823-C5ED57F3FBD3}" autoFormatId="16" applyNumberFormats="0" applyBorderFormats="0" applyFontFormats="0" applyPatternFormats="0" applyAlignmentFormats="0" applyWidthHeightFormats="0">
  <queryTableRefresh nextId="7">
    <queryTableFields count="6">
      <queryTableField id="1" name="refreshed_at" tableColumnId="1"/>
      <queryTableField id="2" name="total_matches" tableColumnId="2"/>
      <queryTableField id="3" name="live_matches" tableColumnId="3"/>
      <queryTableField id="4" name="player_fixture_rows" tableColumnId="4"/>
      <queryTableField id="5" name="latest_gameweek" tableColumnId="5"/>
      <queryTableField id="6" name="latest_match_dat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and" xr10:uid="{A95A9B8A-7047-43E7-88D3-3546C465DA6F}" sourceName="[Players].[price_band]">
  <pivotTables>
    <pivotTable tabId="1" name="PivotTable3"/>
    <pivotTable tabId="1" name="PivotTable2"/>
  </pivotTables>
  <data>
    <olap pivotCacheId="1680786753">
      <levels count="2">
        <level uniqueName="[Players].[price_band].[(All)]" sourceCaption="(All)" count="0"/>
        <level uniqueName="[Players].[price_band].[price_band]" sourceCaption="price_band" count="5">
          <ranges>
            <range startItem="0">
              <i n="[Players].[price_band].&amp;[11.0 and over]" c="11.0 and over"/>
              <i n="[Players].[price_band].&amp;[5.0 to 6.9]" c="5.0 to 6.9"/>
              <i n="[Players].[price_band].&amp;[7.0 to 8.9]" c="7.0 to 8.9"/>
              <i n="[Players].[price_band].&amp;[9.0 to 10.9]" c="9.0 to 10.9"/>
              <i n="[Players].[price_band].&amp;[Under 5.0]" c="Under 5.0"/>
            </range>
          </ranges>
        </level>
      </levels>
      <selections count="1">
        <selection n="[Players].[price_b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band" xr10:uid="{943650B4-4F57-44EB-B886-98A63206B0D4}" cache="Slicer_price_band" caption="price_band" level="1" style="SlicerStyleLight3"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25611EE-2CF3-433C-96D1-1AFC9C3A5CEC}" name="Players" displayName="Players" ref="A1:U244" tableType="queryTable" totalsRowShown="0">
  <autoFilter ref="A1:U244" xr:uid="{725611EE-2CF3-433C-96D1-1AFC9C3A5CEC}"/>
  <sortState xmlns:xlrd2="http://schemas.microsoft.com/office/spreadsheetml/2017/richdata2" ref="A2:U244">
    <sortCondition ref="T1:T244"/>
  </sortState>
  <tableColumns count="21">
    <tableColumn id="1" xr3:uid="{3BC6AC42-036E-4533-BE3B-AC10CBB0D592}" uniqueName="1" name="player_id" queryTableFieldId="1"/>
    <tableColumn id="2" xr3:uid="{723556B2-A75C-4412-B342-27168EBE000B}" uniqueName="2" name="web_name" queryTableFieldId="2" dataDxfId="36"/>
    <tableColumn id="3" xr3:uid="{C4731C3F-6491-4CFF-A37B-F989AE1E3E89}" uniqueName="3" name="full_name" queryTableFieldId="3" dataDxfId="35"/>
    <tableColumn id="4" xr3:uid="{6A6A7C39-D002-4DBB-A4A4-EEBD43A1BB72}" uniqueName="4" name="price_m" queryTableFieldId="4"/>
    <tableColumn id="20" xr3:uid="{247234BF-45F5-4C57-910E-8F29A7661F76}" uniqueName="20" name="Column1" queryTableFieldId="21"/>
    <tableColumn id="21" xr3:uid="{9877304F-B224-4FF9-AD02-2388722D0AF6}" uniqueName="21" name="Column2" queryTableFieldId="20"/>
    <tableColumn id="5" xr3:uid="{E512F3C8-4B68-4EDB-BC2A-73EB537B5BEE}" uniqueName="5" name="selected_by_percent" queryTableFieldId="5"/>
    <tableColumn id="6" xr3:uid="{CB6BA7D4-6B75-4622-B277-9314C1853A66}" uniqueName="6" name="status" queryTableFieldId="6" dataDxfId="34"/>
    <tableColumn id="7" xr3:uid="{C6A5B11A-C39D-4EFE-AB7D-10CBDF5CDC8C}" uniqueName="7" name="team_name" queryTableFieldId="7" dataDxfId="33"/>
    <tableColumn id="8" xr3:uid="{36FE0214-D386-4810-88F8-63F41A16FCF3}" uniqueName="8" name="position_short" queryTableFieldId="8" dataDxfId="32"/>
    <tableColumn id="9" xr3:uid="{CB1E0731-5C5C-46A4-A6F6-66608404B32F}" uniqueName="9" name="position_name" queryTableFieldId="9" dataDxfId="31"/>
    <tableColumn id="10" xr3:uid="{06751EFD-9706-4BA2-810E-50330E5FB7E8}" uniqueName="10" name="fixtures" queryTableFieldId="10" dataDxfId="30"/>
    <tableColumn id="11" xr3:uid="{F58372D5-D488-4846-90E5-6DB715035C3C}" uniqueName="11" name="appearances" queryTableFieldId="11" dataDxfId="29"/>
    <tableColumn id="12" xr3:uid="{A289A82B-9745-4E2B-BAFE-1C7B24F910B1}" uniqueName="12" name="minutes" queryTableFieldId="12"/>
    <tableColumn id="13" xr3:uid="{6F00784E-3561-442A-88D9-15F5FDC1FDF7}" uniqueName="13" name="points" queryTableFieldId="13"/>
    <tableColumn id="14" xr3:uid="{6142D92C-B225-4537-B048-2480FB33C094}" uniqueName="14" name="goals" queryTableFieldId="14" dataDxfId="28"/>
    <tableColumn id="15" xr3:uid="{0FF6CD34-C407-47D7-9DAB-6DFD1A287843}" uniqueName="15" name="assists" queryTableFieldId="15" dataDxfId="27"/>
    <tableColumn id="16" xr3:uid="{77D85C73-E58A-4336-B064-258CEC7DFB2D}" uniqueName="16" name="clean_sheets" queryTableFieldId="16" dataDxfId="26"/>
    <tableColumn id="17" xr3:uid="{F38FFC9F-4753-49EB-AA87-3942D81984E9}" uniqueName="17" name="bonus" queryTableFieldId="17" dataDxfId="25"/>
    <tableColumn id="18" xr3:uid="{23E5C6E0-636D-4246-BC5F-E36F4A3BF4F0}" uniqueName="18" name="points_per_million" queryTableFieldId="18"/>
    <tableColumn id="19" xr3:uid="{331759ED-E96C-4B3E-AA26-E303C1A21362}" uniqueName="19" name="price_band" queryTableFieldId="19"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ADF3108-5EB4-47BF-86B4-4AD56AE906DF}" name="Fixtures" displayName="Fixtures" ref="A249:F909" tableType="queryTable" totalsRowShown="0">
  <autoFilter ref="A249:F909" xr:uid="{FADF3108-5EB4-47BF-86B4-4AD56AE906DF}"/>
  <tableColumns count="6">
    <tableColumn id="1" xr3:uid="{64DFFADF-04CF-4B78-9700-82C8D98681F0}" uniqueName="1" name="team_name" queryTableFieldId="1" dataDxfId="23"/>
    <tableColumn id="5" xr3:uid="{68FAFAD1-B43A-4A33-852E-4966C6E7485B}" uniqueName="5" name="opponent_name" queryTableFieldId="5" dataDxfId="22"/>
    <tableColumn id="2" xr3:uid="{AC054F20-50A2-4908-9E73-1515B412AA18}" uniqueName="2" name="gameweek_id" queryTableFieldId="2"/>
    <tableColumn id="3" xr3:uid="{C6A6C03D-16D9-4FEB-9AE9-2AA155053EEF}" uniqueName="3" name="difficulty" queryTableFieldId="3"/>
    <tableColumn id="4" xr3:uid="{277416E4-A86E-41B7-BFD9-463831613956}" uniqueName="4" name="venue" queryTableFieldId="4" dataDxfId="21"/>
    <tableColumn id="6" xr3:uid="{9EF7284D-B9D1-41CE-BBAD-2F8B5F7A2A00}" uniqueName="6" name="fixture_label" queryTableFieldId="6"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7260952-CE43-4FAC-B2ED-CFAEB7CA5DC0}" name="Refresh" displayName="Refresh" ref="A1:F2" tableType="queryTable" totalsRowShown="0">
  <autoFilter ref="A1:F2" xr:uid="{47260952-CE43-4FAC-B2ED-CFAEB7CA5DC0}"/>
  <tableColumns count="6">
    <tableColumn id="1" xr3:uid="{D3B6D04D-1A32-44BA-8AB8-1038BCD1DF19}" uniqueName="1" name="refreshed_at" queryTableFieldId="1" dataDxfId="19"/>
    <tableColumn id="2" xr3:uid="{DFF7A08D-D476-4485-AF3B-222980A7BC4F}" uniqueName="2" name="total_matches" queryTableFieldId="2" dataDxfId="18"/>
    <tableColumn id="3" xr3:uid="{F196E000-A4BB-4509-88D9-1536E84E988F}" uniqueName="3" name="live_matches" queryTableFieldId="3" dataDxfId="17"/>
    <tableColumn id="4" xr3:uid="{87A53F3C-005B-44F8-B348-EACEA7A301EE}" uniqueName="4" name="player_fixture_rows" queryTableFieldId="4" dataDxfId="16"/>
    <tableColumn id="5" xr3:uid="{2C13A3AC-3F1F-4BA0-BC89-85FAE728F205}" uniqueName="5" name="latest_gameweek" queryTableFieldId="5" dataDxfId="15"/>
    <tableColumn id="6" xr3:uid="{428E47EE-64CD-44F9-9783-1D5B3915E33D}" uniqueName="6" name="latest_match_date" queryTableFieldId="6" dataDxf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32986-ABED-4573-AE7B-0217A9B401D7}">
  <sheetPr>
    <tabColor rgb="FF1F6A4A"/>
  </sheetPr>
  <dimension ref="A1:A20"/>
  <sheetViews>
    <sheetView tabSelected="1" workbookViewId="0"/>
  </sheetViews>
  <sheetFormatPr defaultRowHeight="15"/>
  <cols>
    <col min="1" max="1" width="127.42578125" customWidth="1"/>
  </cols>
  <sheetData>
    <row r="1" spans="1:1" ht="18.75">
      <c r="A1" s="16" t="s">
        <v>622</v>
      </c>
    </row>
    <row r="2" spans="1:1" ht="14.25" customHeight="1"/>
    <row r="3" spans="1:1" ht="15" customHeight="1">
      <c r="A3" s="13" t="s">
        <v>623</v>
      </c>
    </row>
    <row r="5" spans="1:1" ht="30">
      <c r="A5" s="21" t="s">
        <v>624</v>
      </c>
    </row>
    <row r="7" spans="1:1" ht="15.75">
      <c r="A7" s="13" t="s">
        <v>625</v>
      </c>
    </row>
    <row r="9" spans="1:1">
      <c r="A9" t="s">
        <v>626</v>
      </c>
    </row>
    <row r="10" spans="1:1">
      <c r="A10" t="s">
        <v>627</v>
      </c>
    </row>
    <row r="11" spans="1:1">
      <c r="A11" t="s">
        <v>628</v>
      </c>
    </row>
    <row r="12" spans="1:1">
      <c r="A12" t="s">
        <v>629</v>
      </c>
    </row>
    <row r="14" spans="1:1" ht="15.75">
      <c r="A14" s="13" t="s">
        <v>630</v>
      </c>
    </row>
    <row r="16" spans="1:1" ht="30">
      <c r="A16" s="21" t="s">
        <v>631</v>
      </c>
    </row>
    <row r="18" spans="1:1" ht="15.75">
      <c r="A18" s="13" t="s">
        <v>632</v>
      </c>
    </row>
    <row r="20" spans="1:1" ht="30">
      <c r="A20" s="26" t="s">
        <v>633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A309A-303C-40C3-8FF2-F4FBD0BF4585}">
  <sheetPr>
    <tabColor rgb="FF1F6A4A"/>
  </sheetPr>
  <dimension ref="A1:K24"/>
  <sheetViews>
    <sheetView showGridLines="0" workbookViewId="0">
      <selection activeCell="K17" sqref="K17"/>
    </sheetView>
  </sheetViews>
  <sheetFormatPr defaultRowHeight="15"/>
  <cols>
    <col min="1" max="1" width="16.42578125" bestFit="1" customWidth="1"/>
    <col min="2" max="2" width="10.28515625" bestFit="1" customWidth="1"/>
    <col min="3" max="3" width="9.140625" bestFit="1" customWidth="1"/>
    <col min="4" max="4" width="10.85546875" bestFit="1" customWidth="1"/>
    <col min="5" max="5" width="28.140625" bestFit="1" customWidth="1"/>
    <col min="7" max="7" width="4.7109375" customWidth="1"/>
    <col min="8" max="9" width="9.140625" hidden="1" customWidth="1"/>
    <col min="11" max="11" width="14.42578125" customWidth="1"/>
  </cols>
  <sheetData>
    <row r="1" spans="1:11" ht="18.75">
      <c r="A1" s="27" t="str">
        <f>"Data as of " &amp; TEXT(INDEX(Refresh[refreshed_at],1),"dd mmm yyyy hh:mm")
  &amp; " UTC · GW" &amp; INDEX(Refresh[latest_gameweek],1)</f>
        <v>Data as of 27 Sep 2026 12:13 UTC · GW5</v>
      </c>
      <c r="B1" s="27"/>
      <c r="C1" s="27"/>
      <c r="D1" s="27"/>
      <c r="J1" s="16" t="s">
        <v>619</v>
      </c>
    </row>
    <row r="2" spans="1:11">
      <c r="J2" t="str" cm="1">
        <f t="array" ref="J2:K5">_xlfn.LET(
    _xlpm.positions, {"GKP";"DEF";"MID";"FWD"},
    _xlpm.best, _xlfn.BYROW(_xlpm.positions, _xlfn.LAMBDA(_xlpm.p,
        _xlfn.LET(
            _xlpm.rows,  _xlfn._xlws.FILTER(Players[], (Players[position_short]=_xlpm.p) * (Players[minutes]&gt;=270)),
            _xlpm.top,   _xlfn.SORTBY(_xlpm.rows, INDEX(_xlpm.rows,,18), -1),
            INDEX(_xlpm.top, 1, 2)
        ))),
    _xlfn.HSTACK(_xlpm.positions, _xlpm.best)
)</f>
        <v>GKP</v>
      </c>
      <c r="K2" t="str">
        <v>Pickford</v>
      </c>
    </row>
    <row r="3" spans="1:11">
      <c r="J3" t="str">
        <v>DEF</v>
      </c>
      <c r="K3" t="str">
        <v>Bogle</v>
      </c>
    </row>
    <row r="4" spans="1:11" ht="18.75">
      <c r="A4" s="16" t="s">
        <v>620</v>
      </c>
      <c r="J4" t="str">
        <v>MID</v>
      </c>
      <c r="K4" t="str">
        <v>Bobb</v>
      </c>
    </row>
    <row r="5" spans="1:11">
      <c r="A5" s="1" t="s">
        <v>7</v>
      </c>
      <c r="B5" t="s">
        <v>564</v>
      </c>
      <c r="C5" t="s">
        <v>563</v>
      </c>
      <c r="D5" t="s">
        <v>562</v>
      </c>
      <c r="J5" t="str">
        <v>FWD</v>
      </c>
      <c r="K5" t="str">
        <v>McBurnie</v>
      </c>
    </row>
    <row r="6" spans="1:11">
      <c r="A6" t="s">
        <v>23</v>
      </c>
      <c r="B6" s="4">
        <v>15.614583333333334</v>
      </c>
      <c r="C6" s="5">
        <v>4.8312499999999998</v>
      </c>
      <c r="D6" s="6">
        <v>3.2302083333333336</v>
      </c>
    </row>
    <row r="7" spans="1:11">
      <c r="A7" t="s">
        <v>107</v>
      </c>
      <c r="B7" s="4">
        <v>18.047619047619047</v>
      </c>
      <c r="C7" s="5">
        <v>6.723809523809523</v>
      </c>
      <c r="D7" s="6">
        <v>2.6923809523809523</v>
      </c>
    </row>
    <row r="8" spans="1:11">
      <c r="A8" t="s">
        <v>46</v>
      </c>
      <c r="B8" s="4">
        <v>17.238095238095237</v>
      </c>
      <c r="C8" s="5">
        <v>4.9333333333333327</v>
      </c>
      <c r="D8" s="6">
        <v>3.4642857142857144</v>
      </c>
    </row>
    <row r="9" spans="1:11">
      <c r="A9" t="s">
        <v>35</v>
      </c>
      <c r="B9" s="4">
        <v>16.561904761904763</v>
      </c>
      <c r="C9" s="5">
        <v>5.8323809523809524</v>
      </c>
      <c r="D9" s="6">
        <v>2.8060952380952378</v>
      </c>
    </row>
    <row r="12" spans="1:11">
      <c r="A12" s="1" t="s">
        <v>7</v>
      </c>
      <c r="B12" t="s" vm="1">
        <v>565</v>
      </c>
    </row>
    <row r="13" spans="1:11" ht="18.75">
      <c r="A13" s="16" t="s">
        <v>621</v>
      </c>
    </row>
    <row r="14" spans="1:11">
      <c r="A14" s="1" t="s">
        <v>1</v>
      </c>
      <c r="B14" t="s">
        <v>566</v>
      </c>
      <c r="C14" t="s">
        <v>567</v>
      </c>
      <c r="D14" t="s">
        <v>562</v>
      </c>
    </row>
    <row r="15" spans="1:11">
      <c r="A15" t="s">
        <v>19</v>
      </c>
      <c r="B15">
        <v>42</v>
      </c>
      <c r="C15" s="5">
        <v>4.5999999999999996</v>
      </c>
      <c r="D15" s="3">
        <v>9.1300000000000008</v>
      </c>
      <c r="H15" t="str">
        <f>IF(A15="","",A15)</f>
        <v>Bogle</v>
      </c>
      <c r="I15" s="3">
        <f>IF(A15="",NA(),D15)</f>
        <v>9.1300000000000008</v>
      </c>
    </row>
    <row r="16" spans="1:11">
      <c r="A16" t="s">
        <v>32</v>
      </c>
      <c r="B16">
        <v>47</v>
      </c>
      <c r="C16" s="5">
        <v>5.8</v>
      </c>
      <c r="D16" s="3">
        <v>8.1</v>
      </c>
      <c r="G16" s="3"/>
      <c r="H16" t="str">
        <f t="shared" ref="H16:H24" si="0">IF(A16="","",A16)</f>
        <v>Groß</v>
      </c>
      <c r="I16" s="3">
        <f t="shared" ref="I16:I24" si="1">IF(A16="",NA(),D16)</f>
        <v>8.1</v>
      </c>
    </row>
    <row r="17" spans="1:9">
      <c r="A17" t="s">
        <v>40</v>
      </c>
      <c r="B17">
        <v>38</v>
      </c>
      <c r="C17" s="5">
        <v>5</v>
      </c>
      <c r="D17" s="3">
        <v>7.6</v>
      </c>
      <c r="H17" t="str">
        <f t="shared" si="0"/>
        <v>De Cuyper</v>
      </c>
      <c r="I17" s="3">
        <f t="shared" si="1"/>
        <v>7.6</v>
      </c>
    </row>
    <row r="18" spans="1:9">
      <c r="A18" t="s">
        <v>43</v>
      </c>
      <c r="B18">
        <v>34</v>
      </c>
      <c r="C18" s="5">
        <v>4.7</v>
      </c>
      <c r="D18" s="3">
        <v>7.23</v>
      </c>
      <c r="H18" t="str">
        <f t="shared" si="0"/>
        <v>Tzolakis</v>
      </c>
      <c r="I18" s="3">
        <f t="shared" si="1"/>
        <v>7.23</v>
      </c>
    </row>
    <row r="19" spans="1:9">
      <c r="A19" t="s">
        <v>48</v>
      </c>
      <c r="B19">
        <v>43</v>
      </c>
      <c r="C19" s="5">
        <v>6.1</v>
      </c>
      <c r="D19" s="3">
        <v>7.05</v>
      </c>
      <c r="H19" t="str">
        <f t="shared" si="0"/>
        <v>Tarkowski</v>
      </c>
      <c r="I19" s="3">
        <f t="shared" si="1"/>
        <v>7.05</v>
      </c>
    </row>
    <row r="20" spans="1:9">
      <c r="A20" t="s">
        <v>52</v>
      </c>
      <c r="B20">
        <v>37</v>
      </c>
      <c r="C20" s="5">
        <v>5.7</v>
      </c>
      <c r="D20" s="3">
        <v>6.49</v>
      </c>
      <c r="H20" t="str">
        <f t="shared" si="0"/>
        <v>Gvardiol</v>
      </c>
      <c r="I20" s="3">
        <f t="shared" si="1"/>
        <v>6.49</v>
      </c>
    </row>
    <row r="21" spans="1:9">
      <c r="A21" t="s">
        <v>55</v>
      </c>
      <c r="B21">
        <v>27</v>
      </c>
      <c r="C21" s="5">
        <v>4.2</v>
      </c>
      <c r="D21" s="3">
        <v>6.43</v>
      </c>
      <c r="H21" t="str">
        <f t="shared" si="0"/>
        <v>Ajayi</v>
      </c>
      <c r="I21" s="3">
        <f t="shared" si="1"/>
        <v>6.43</v>
      </c>
    </row>
    <row r="22" spans="1:9">
      <c r="A22" t="s">
        <v>57</v>
      </c>
      <c r="B22">
        <v>32</v>
      </c>
      <c r="C22" s="5">
        <v>5</v>
      </c>
      <c r="D22" s="3">
        <v>6.4</v>
      </c>
      <c r="H22" t="str">
        <f t="shared" si="0"/>
        <v>Vuskovic</v>
      </c>
      <c r="I22" s="3">
        <f t="shared" si="1"/>
        <v>6.4</v>
      </c>
    </row>
    <row r="23" spans="1:9">
      <c r="A23" t="s">
        <v>59</v>
      </c>
      <c r="B23">
        <v>26</v>
      </c>
      <c r="C23" s="5">
        <v>4.0999999999999996</v>
      </c>
      <c r="D23" s="3">
        <v>6.34</v>
      </c>
      <c r="H23" t="str">
        <f t="shared" si="0"/>
        <v>Egan</v>
      </c>
      <c r="I23" s="3">
        <f t="shared" si="1"/>
        <v>6.34</v>
      </c>
    </row>
    <row r="24" spans="1:9">
      <c r="A24" t="s">
        <v>61</v>
      </c>
      <c r="B24">
        <v>39</v>
      </c>
      <c r="C24" s="5">
        <v>6.2</v>
      </c>
      <c r="D24" s="3">
        <v>6.29</v>
      </c>
      <c r="H24" t="str">
        <f t="shared" si="0"/>
        <v>Schade</v>
      </c>
      <c r="I24" s="3">
        <f t="shared" si="1"/>
        <v>6.29</v>
      </c>
    </row>
  </sheetData>
  <mergeCells count="1">
    <mergeCell ref="A1:D1"/>
  </mergeCells>
  <conditionalFormatting sqref="G16">
    <cfRule type="dataBar" priority="1">
      <dataBar showValue="0">
        <cfvo type="min"/>
        <cfvo type="max"/>
        <color rgb="FF63C384"/>
      </dataBar>
      <extLst>
        <ext xmlns:x14="http://schemas.microsoft.com/office/spreadsheetml/2009/9/main" uri="{B025F937-C7B1-47D3-B67F-A62EFF666E3E}">
          <x14:id>{4888DCED-D9D0-4363-B8A9-D193CA129F57}</x14:id>
        </ext>
      </extLst>
    </cfRule>
  </conditionalFormatting>
  <pageMargins left="0.7" right="0.7" top="0.75" bottom="0.75" header="0.3" footer="0.3"/>
  <pageSetup paperSize="9" orientation="portrait" r:id="rId3"/>
  <drawing r:id="rId4"/>
  <extLst>
    <ext xmlns:x14="http://schemas.microsoft.com/office/spreadsheetml/2009/9/main" uri="{78C0D931-6437-407d-A8EE-F0AAD7539E65}">
      <x14:conditionalFormattings>
        <x14:conditionalFormatting xmlns:xm="http://schemas.microsoft.com/office/excel/2006/main">
          <x14:cfRule type="dataBar" id="{4888DCED-D9D0-4363-B8A9-D193CA129F57}">
            <x14:dataBar minLength="0" maxLength="100" border="1" negativeBarBorderColorSameAsPositive="0">
              <x14:cfvo type="autoMin"/>
              <x14:cfvo type="autoMax"/>
              <x14:borderColor rgb="FF63C384"/>
              <x14:negativeFillColor rgb="FFFF0000"/>
              <x14:negativeBorderColor rgb="FFFF0000"/>
              <x14:axisColor rgb="FF000000"/>
            </x14:dataBar>
          </x14:cfRule>
          <xm:sqref>G16</xm:sqref>
        </x14:conditionalFormatting>
      </x14:conditionalFormattings>
    </ex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EB2D2-7923-4FAE-9AB0-76A01527118B}">
  <sheetPr>
    <tabColor rgb="FF1F6A4A"/>
  </sheetPr>
  <dimension ref="A1:H47"/>
  <sheetViews>
    <sheetView showGridLines="0" workbookViewId="0">
      <pane ySplit="4" topLeftCell="A5" activePane="bottomLeft" state="frozen"/>
      <selection pane="bottomLeft" activeCell="A4" sqref="A4"/>
    </sheetView>
  </sheetViews>
  <sheetFormatPr defaultRowHeight="15"/>
  <cols>
    <col min="1" max="1" width="22.140625" customWidth="1"/>
    <col min="2" max="2" width="14.5703125" bestFit="1" customWidth="1"/>
    <col min="3" max="3" width="9.28515625" bestFit="1" customWidth="1"/>
    <col min="4" max="4" width="10.85546875" customWidth="1"/>
    <col min="5" max="5" width="11.85546875" customWidth="1"/>
    <col min="6" max="6" width="10.28515625" customWidth="1"/>
    <col min="7" max="7" width="9" bestFit="1" customWidth="1"/>
    <col min="8" max="8" width="10.7109375" customWidth="1"/>
    <col min="9" max="9" width="9.28515625" bestFit="1" customWidth="1"/>
    <col min="10" max="10" width="8.42578125" bestFit="1" customWidth="1"/>
    <col min="11" max="11" width="8.7109375" bestFit="1" customWidth="1"/>
    <col min="12" max="12" width="9.42578125" bestFit="1" customWidth="1"/>
    <col min="13" max="13" width="9.7109375" bestFit="1" customWidth="1"/>
    <col min="14" max="14" width="9.42578125" bestFit="1" customWidth="1"/>
    <col min="15" max="15" width="9.7109375" bestFit="1" customWidth="1"/>
    <col min="16" max="16" width="9.28515625" bestFit="1" customWidth="1"/>
    <col min="17" max="17" width="9.5703125" bestFit="1" customWidth="1"/>
    <col min="18" max="18" width="8.85546875" bestFit="1" customWidth="1"/>
    <col min="19" max="19" width="9.140625" bestFit="1" customWidth="1"/>
    <col min="20" max="20" width="8.7109375" bestFit="1" customWidth="1"/>
    <col min="21" max="21" width="9" bestFit="1" customWidth="1"/>
    <col min="22" max="22" width="9.140625" bestFit="1" customWidth="1"/>
    <col min="23" max="23" width="9.42578125" bestFit="1" customWidth="1"/>
    <col min="24" max="24" width="8.28515625" bestFit="1" customWidth="1"/>
    <col min="25" max="25" width="8.5703125" bestFit="1" customWidth="1"/>
    <col min="26" max="26" width="8.7109375" bestFit="1" customWidth="1"/>
    <col min="27" max="27" width="9" bestFit="1" customWidth="1"/>
    <col min="28" max="28" width="8.140625" bestFit="1" customWidth="1"/>
    <col min="29" max="29" width="8.42578125" bestFit="1" customWidth="1"/>
    <col min="30" max="31" width="9.5703125" bestFit="1" customWidth="1"/>
    <col min="32" max="33" width="9.85546875" bestFit="1" customWidth="1"/>
    <col min="34" max="34" width="10.140625" bestFit="1" customWidth="1"/>
    <col min="35" max="35" width="9.28515625" bestFit="1" customWidth="1"/>
    <col min="36" max="36" width="9.5703125" bestFit="1" customWidth="1"/>
    <col min="37" max="37" width="9.28515625" bestFit="1" customWidth="1"/>
    <col min="38" max="38" width="9.5703125" bestFit="1" customWidth="1"/>
    <col min="39" max="39" width="8.85546875" bestFit="1" customWidth="1"/>
    <col min="40" max="40" width="9.140625" bestFit="1" customWidth="1"/>
    <col min="41" max="196" width="15.5703125" bestFit="1" customWidth="1"/>
  </cols>
  <sheetData>
    <row r="1" spans="1:8" ht="18.75">
      <c r="A1" s="16" t="s">
        <v>614</v>
      </c>
    </row>
    <row r="3" spans="1:8" ht="15.75" thickBot="1"/>
    <row r="4" spans="1:8" ht="17.25" thickTop="1" thickBot="1">
      <c r="A4" s="14" t="str" cm="1">
        <f t="array" ref="A4:F24">_xlfn.LET(
    _xlpm.teams,  _xlfn._xlws.SORT(_xlfn.UNIQUE(Fixtures[team_name])),
    _xlpm.allgw,  _xlfn._xlws.SORT(_xlfn.UNIQUE(Fixtures[gameweek_id])),
    _xlpm.gws,    TRANSPOSE(_xlfn.TAKE(_xlpm.allgw, 5)),
    _xlpm.labels, "GW " &amp; _xlpm.gws,
    _xlpm.grid,   _xlfn.MAKEARRAY(ROWS(_xlpm.teams), 5, _xlfn.LAMBDA(_xlpm.r,_xlpm.c,
                IFERROR(
                    _xlfn.TEXTJOIN(" / ", TRUE,
                        _xlfn._xlws.FILTER(Fixtures[fixture_label],
                               (Fixtures[team_name]   = INDEX(_xlpm.teams, _xlpm.r))
                             * (Fixtures[gameweek_id] = INDEX(_xlpm.gws, 1, _xlpm.c)))),
                    "—"))),
    _xlfn.VSTACK(_xlfn.HSTACK("Club", _xlpm.labels), _xlfn.HSTACK(_xlpm.teams, _xlpm.grid))
)</f>
        <v>Club</v>
      </c>
      <c r="B4" s="15" t="str">
        <v>GW 6</v>
      </c>
      <c r="C4" s="15" t="str">
        <v>GW 7</v>
      </c>
      <c r="D4" s="15" t="str">
        <v>GW 8</v>
      </c>
      <c r="E4" s="15" t="str">
        <v>GW 9</v>
      </c>
      <c r="F4" s="15" t="str">
        <v>GW 10</v>
      </c>
      <c r="H4" s="17" t="s">
        <v>615</v>
      </c>
    </row>
    <row r="5" spans="1:8" ht="15.75" thickTop="1">
      <c r="A5" t="str">
        <v>AFC Bournemouth</v>
      </c>
      <c r="B5" s="7" t="str">
        <v>CHE (A) 4</v>
      </c>
      <c r="C5" s="7" t="str">
        <v>SUN (H) 3</v>
      </c>
      <c r="D5" s="7" t="str">
        <v>MAN (A) 4</v>
      </c>
      <c r="E5" s="7" t="str">
        <v>LEE (H) 3</v>
      </c>
      <c r="F5" s="7" t="str">
        <v>IPS (A) 2</v>
      </c>
      <c r="H5" s="18" t="s">
        <v>616</v>
      </c>
    </row>
    <row r="6" spans="1:8">
      <c r="A6" t="str">
        <v>Arsenal</v>
      </c>
      <c r="B6" s="7" t="str">
        <v>LEE (H) 3</v>
      </c>
      <c r="C6" s="7" t="str">
        <v>NOT (A) 3</v>
      </c>
      <c r="D6" s="7" t="str">
        <v>EVE (H) 3</v>
      </c>
      <c r="E6" s="7" t="str">
        <v>LIV (A) 4</v>
      </c>
      <c r="F6" s="7" t="str">
        <v>HUL (H) 2</v>
      </c>
      <c r="H6" s="19" t="s">
        <v>617</v>
      </c>
    </row>
    <row r="7" spans="1:8">
      <c r="A7" t="str">
        <v>Aston Villa</v>
      </c>
      <c r="B7" s="7" t="str">
        <v>BRE (H) 3</v>
      </c>
      <c r="C7" s="7" t="str">
        <v>NEW (A) 3</v>
      </c>
      <c r="D7" s="7" t="str">
        <v>MAN (H) 4</v>
      </c>
      <c r="E7" s="7" t="str">
        <v>FUL (H) 2</v>
      </c>
      <c r="F7" s="7" t="str">
        <v>MAN (A) 4</v>
      </c>
      <c r="H7" s="20" t="s">
        <v>618</v>
      </c>
    </row>
    <row r="8" spans="1:8">
      <c r="A8" t="str">
        <v>Brentford</v>
      </c>
      <c r="B8" s="7" t="str">
        <v>AST (A) 3</v>
      </c>
      <c r="C8" s="7" t="str">
        <v>LIV (H) 4</v>
      </c>
      <c r="D8" s="7" t="str">
        <v>HUL (A) 2</v>
      </c>
      <c r="E8" s="7" t="str">
        <v>NOT (H) 3</v>
      </c>
      <c r="F8" s="7" t="str">
        <v>BRI (A) 4</v>
      </c>
    </row>
    <row r="9" spans="1:8">
      <c r="A9" t="str">
        <v>Brighton &amp; Hove Albion</v>
      </c>
      <c r="B9" s="7" t="str">
        <v>SUN (A) 3</v>
      </c>
      <c r="C9" s="7" t="str">
        <v>CRY (H) 2</v>
      </c>
      <c r="D9" s="7" t="str">
        <v>LIV (A) 4</v>
      </c>
      <c r="E9" s="7" t="str">
        <v>MAN (A) 5</v>
      </c>
      <c r="F9" s="7" t="str">
        <v>BRE (H) 3</v>
      </c>
    </row>
    <row r="10" spans="1:8">
      <c r="A10" t="str">
        <v>Chelsea</v>
      </c>
      <c r="B10" s="7" t="str">
        <v>AFC (H) 3</v>
      </c>
      <c r="C10" s="7" t="str">
        <v>EVE (A) 3</v>
      </c>
      <c r="D10" s="7" t="str">
        <v>TOT (H) 2</v>
      </c>
      <c r="E10" s="7" t="str">
        <v>MAN (H) 4</v>
      </c>
      <c r="F10" s="7" t="str">
        <v>SUN (A) 3</v>
      </c>
    </row>
    <row r="11" spans="1:8">
      <c r="A11" t="str">
        <v>Coventry City</v>
      </c>
      <c r="B11" s="7" t="str">
        <v>NEW (H) 3</v>
      </c>
      <c r="C11" s="7" t="str">
        <v>TOT (A) 3</v>
      </c>
      <c r="D11" s="7" t="str">
        <v>FUL (H) 2</v>
      </c>
      <c r="E11" s="7" t="str">
        <v>SUN (H) 3</v>
      </c>
      <c r="F11" s="7" t="str">
        <v>EVE (A) 3</v>
      </c>
    </row>
    <row r="12" spans="1:8">
      <c r="A12" t="str">
        <v>Crystal Palace</v>
      </c>
      <c r="B12" s="7" t="str">
        <v>NOT (H) 3</v>
      </c>
      <c r="C12" s="7" t="str">
        <v>BRI (A) 4</v>
      </c>
      <c r="D12" s="7" t="str">
        <v>NEW (H) 3</v>
      </c>
      <c r="E12" s="7" t="str">
        <v>TOT (A) 3</v>
      </c>
      <c r="F12" s="7" t="str">
        <v>LIV (H) 4</v>
      </c>
    </row>
    <row r="13" spans="1:8">
      <c r="A13" t="str">
        <v>Everton</v>
      </c>
      <c r="B13" s="7" t="str">
        <v>HUL (A) 2</v>
      </c>
      <c r="C13" s="7" t="str">
        <v>CHE (H) 4</v>
      </c>
      <c r="D13" s="7" t="str">
        <v>ARS (A) 5</v>
      </c>
      <c r="E13" s="7" t="str">
        <v>NEW (A) 3</v>
      </c>
      <c r="F13" s="7" t="str">
        <v>COV (H) 2</v>
      </c>
    </row>
    <row r="14" spans="1:8">
      <c r="A14" t="str">
        <v>Fulham</v>
      </c>
      <c r="B14" s="7" t="str">
        <v>IPS (A) 2</v>
      </c>
      <c r="C14" s="7" t="str">
        <v>HUL (H) 2</v>
      </c>
      <c r="D14" s="7" t="str">
        <v>COV (A) 2</v>
      </c>
      <c r="E14" s="7" t="str">
        <v>AST (A) 3</v>
      </c>
      <c r="F14" s="7" t="str">
        <v>NEW (H) 3</v>
      </c>
    </row>
    <row r="15" spans="1:8">
      <c r="A15" t="str">
        <v>Hull City</v>
      </c>
      <c r="B15" s="7" t="str">
        <v>EVE (H) 3</v>
      </c>
      <c r="C15" s="7" t="str">
        <v>FUL (A) 3</v>
      </c>
      <c r="D15" s="7" t="str">
        <v>BRE (H) 3</v>
      </c>
      <c r="E15" s="7" t="str">
        <v>IPS (H) 2</v>
      </c>
      <c r="F15" s="7" t="str">
        <v>ARS (A) 5</v>
      </c>
    </row>
    <row r="16" spans="1:8">
      <c r="A16" t="str">
        <v>Ipswich Town</v>
      </c>
      <c r="B16" s="7" t="str">
        <v>FUL (H) 2</v>
      </c>
      <c r="C16" s="7" t="str">
        <v>MAN (A) 5</v>
      </c>
      <c r="D16" s="7" t="str">
        <v>NOT (H) 3</v>
      </c>
      <c r="E16" s="7" t="str">
        <v>HUL (A) 2</v>
      </c>
      <c r="F16" s="7" t="str">
        <v>AFC (H) 3</v>
      </c>
    </row>
    <row r="17" spans="1:6">
      <c r="A17" t="str">
        <v>Leeds United</v>
      </c>
      <c r="B17" s="7" t="str">
        <v>ARS (A) 5</v>
      </c>
      <c r="C17" s="7" t="str">
        <v>MAN (H) 4</v>
      </c>
      <c r="D17" s="7" t="str">
        <v>SUN (A) 3</v>
      </c>
      <c r="E17" s="7" t="str">
        <v>AFC (A) 3</v>
      </c>
      <c r="F17" s="7" t="str">
        <v>TOT (H) 2</v>
      </c>
    </row>
    <row r="18" spans="1:6">
      <c r="A18" t="str">
        <v>Liverpool</v>
      </c>
      <c r="B18" s="7" t="str">
        <v>MAN (H) 4</v>
      </c>
      <c r="C18" s="7" t="str">
        <v>BRE (A) 3</v>
      </c>
      <c r="D18" s="7" t="str">
        <v>BRI (H) 3</v>
      </c>
      <c r="E18" s="7" t="str">
        <v>ARS (H) 4</v>
      </c>
      <c r="F18" s="7" t="str">
        <v>CRY (A) 3</v>
      </c>
    </row>
    <row r="19" spans="1:6">
      <c r="A19" t="str">
        <v>Manchester City</v>
      </c>
      <c r="B19" s="7" t="str">
        <v>LIV (A) 4</v>
      </c>
      <c r="C19" s="7" t="str">
        <v>IPS (H) 2</v>
      </c>
      <c r="D19" s="7" t="str">
        <v>AST (A) 3</v>
      </c>
      <c r="E19" s="7" t="str">
        <v>BRI (H) 3</v>
      </c>
      <c r="F19" s="7" t="str">
        <v>NOT (A) 3</v>
      </c>
    </row>
    <row r="20" spans="1:6">
      <c r="A20" t="str">
        <v>Manchester United</v>
      </c>
      <c r="B20" s="7" t="str">
        <v>TOT (H) 2</v>
      </c>
      <c r="C20" s="7" t="str">
        <v>LEE (A) 3</v>
      </c>
      <c r="D20" s="7" t="str">
        <v>AFC (H) 3</v>
      </c>
      <c r="E20" s="7" t="str">
        <v>CHE (A) 4</v>
      </c>
      <c r="F20" s="7" t="str">
        <v>AST (H) 3</v>
      </c>
    </row>
    <row r="21" spans="1:6">
      <c r="A21" t="str">
        <v>Newcastle United</v>
      </c>
      <c r="B21" s="7" t="str">
        <v>COV (A) 2</v>
      </c>
      <c r="C21" s="7" t="str">
        <v>AST (H) 3</v>
      </c>
      <c r="D21" s="7" t="str">
        <v>CRY (A) 3</v>
      </c>
      <c r="E21" s="7" t="str">
        <v>EVE (H) 3</v>
      </c>
      <c r="F21" s="7" t="str">
        <v>FUL (A) 3</v>
      </c>
    </row>
    <row r="22" spans="1:6">
      <c r="A22" t="str">
        <v>Nottingham Forest</v>
      </c>
      <c r="B22" s="7" t="str">
        <v>CRY (A) 3</v>
      </c>
      <c r="C22" s="7" t="str">
        <v>ARS (H) 4</v>
      </c>
      <c r="D22" s="7" t="str">
        <v>IPS (A) 2</v>
      </c>
      <c r="E22" s="7" t="str">
        <v>BRE (A) 3</v>
      </c>
      <c r="F22" s="7" t="str">
        <v>MAN (H) 4</v>
      </c>
    </row>
    <row r="23" spans="1:6">
      <c r="A23" t="str">
        <v>Sunderland</v>
      </c>
      <c r="B23" s="7" t="str">
        <v>BRI (H) 3</v>
      </c>
      <c r="C23" s="7" t="str">
        <v>AFC (A) 3</v>
      </c>
      <c r="D23" s="7" t="str">
        <v>LEE (H) 3</v>
      </c>
      <c r="E23" s="7" t="str">
        <v>COV (A) 2</v>
      </c>
      <c r="F23" s="7" t="str">
        <v>CHE (H) 4</v>
      </c>
    </row>
    <row r="24" spans="1:6">
      <c r="A24" t="str">
        <v>Tottenham Hotspur</v>
      </c>
      <c r="B24" s="7" t="str">
        <v>MAN (A) 4</v>
      </c>
      <c r="C24" s="7" t="str">
        <v>COV (H) 2</v>
      </c>
      <c r="D24" s="7" t="str">
        <v>CHE (A) 4</v>
      </c>
      <c r="E24" s="7" t="str">
        <v>CRY (H) 2</v>
      </c>
      <c r="F24" s="7" t="str">
        <v>LEE (A) 3</v>
      </c>
    </row>
    <row r="28" spans="1:6">
      <c r="A28" s="11"/>
      <c r="B28" s="12"/>
      <c r="C28" s="12"/>
      <c r="D28" s="12"/>
      <c r="E28" s="12"/>
      <c r="F28" s="12"/>
    </row>
    <row r="29" spans="1:6">
      <c r="A29" s="11"/>
      <c r="B29" s="12"/>
      <c r="C29" s="12"/>
      <c r="D29" s="12"/>
      <c r="E29" s="12"/>
      <c r="F29" s="12"/>
    </row>
    <row r="30" spans="1:6">
      <c r="A30" s="11"/>
      <c r="B30" s="12"/>
      <c r="C30" s="12"/>
      <c r="D30" s="12"/>
      <c r="E30" s="12"/>
      <c r="F30" s="12"/>
    </row>
    <row r="31" spans="1:6">
      <c r="A31" s="11"/>
      <c r="B31" s="12"/>
      <c r="C31" s="12"/>
      <c r="D31" s="12"/>
      <c r="E31" s="12"/>
      <c r="F31" s="12"/>
    </row>
    <row r="32" spans="1:6">
      <c r="A32" s="11"/>
      <c r="B32" s="12"/>
      <c r="C32" s="12"/>
      <c r="D32" s="12"/>
      <c r="E32" s="12"/>
      <c r="F32" s="12"/>
    </row>
    <row r="33" spans="1:6">
      <c r="A33" s="11"/>
      <c r="B33" s="12"/>
      <c r="C33" s="12"/>
      <c r="D33" s="12"/>
      <c r="E33" s="12"/>
      <c r="F33" s="12"/>
    </row>
    <row r="34" spans="1:6">
      <c r="A34" s="11"/>
      <c r="B34" s="12"/>
      <c r="C34" s="12"/>
      <c r="D34" s="12"/>
      <c r="E34" s="12"/>
      <c r="F34" s="12"/>
    </row>
    <row r="35" spans="1:6">
      <c r="A35" s="11"/>
      <c r="B35" s="12"/>
      <c r="C35" s="12"/>
      <c r="D35" s="12"/>
      <c r="E35" s="12"/>
      <c r="F35" s="12"/>
    </row>
    <row r="36" spans="1:6">
      <c r="A36" s="11"/>
      <c r="B36" s="12"/>
      <c r="C36" s="12"/>
      <c r="D36" s="12"/>
      <c r="E36" s="12"/>
      <c r="F36" s="12"/>
    </row>
    <row r="37" spans="1:6">
      <c r="A37" s="11"/>
      <c r="B37" s="12"/>
      <c r="C37" s="12"/>
      <c r="D37" s="12"/>
      <c r="E37" s="12"/>
      <c r="F37" s="12"/>
    </row>
    <row r="38" spans="1:6">
      <c r="A38" s="11"/>
      <c r="B38" s="12"/>
      <c r="C38" s="12"/>
      <c r="D38" s="12"/>
      <c r="E38" s="12"/>
      <c r="F38" s="12"/>
    </row>
    <row r="39" spans="1:6">
      <c r="A39" s="11"/>
      <c r="B39" s="12"/>
      <c r="C39" s="12"/>
      <c r="D39" s="12"/>
      <c r="E39" s="12"/>
      <c r="F39" s="12"/>
    </row>
    <row r="40" spans="1:6">
      <c r="A40" s="11"/>
      <c r="B40" s="12"/>
      <c r="C40" s="12"/>
      <c r="D40" s="12"/>
      <c r="E40" s="12"/>
      <c r="F40" s="12"/>
    </row>
    <row r="41" spans="1:6">
      <c r="A41" s="11"/>
      <c r="B41" s="12"/>
      <c r="C41" s="12"/>
      <c r="D41" s="12"/>
      <c r="E41" s="12"/>
      <c r="F41" s="12"/>
    </row>
    <row r="42" spans="1:6">
      <c r="A42" s="11"/>
      <c r="B42" s="12"/>
      <c r="C42" s="12"/>
      <c r="D42" s="12"/>
      <c r="E42" s="12"/>
      <c r="F42" s="12"/>
    </row>
    <row r="43" spans="1:6">
      <c r="A43" s="11"/>
      <c r="B43" s="12"/>
      <c r="C43" s="12"/>
      <c r="D43" s="12"/>
      <c r="E43" s="12"/>
      <c r="F43" s="12"/>
    </row>
    <row r="44" spans="1:6">
      <c r="A44" s="11"/>
      <c r="B44" s="12"/>
      <c r="C44" s="12"/>
      <c r="D44" s="12"/>
      <c r="E44" s="12"/>
      <c r="F44" s="12"/>
    </row>
    <row r="45" spans="1:6">
      <c r="A45" s="11"/>
      <c r="B45" s="12"/>
      <c r="C45" s="12"/>
      <c r="D45" s="12"/>
      <c r="E45" s="12"/>
      <c r="F45" s="12"/>
    </row>
    <row r="46" spans="1:6">
      <c r="A46" s="11"/>
      <c r="B46" s="12"/>
      <c r="C46" s="12"/>
      <c r="D46" s="12"/>
      <c r="E46" s="12"/>
      <c r="F46" s="12"/>
    </row>
    <row r="47" spans="1:6">
      <c r="A47" s="11"/>
      <c r="B47" s="12"/>
      <c r="C47" s="12"/>
      <c r="D47" s="12"/>
      <c r="E47" s="12"/>
      <c r="F47" s="12"/>
    </row>
  </sheetData>
  <phoneticPr fontId="3" type="noConversion"/>
  <conditionalFormatting sqref="B28:F47">
    <cfRule type="expression" dxfId="13" priority="11">
      <formula>VALUE(RIGHT(B28,1))=1</formula>
    </cfRule>
    <cfRule type="expression" dxfId="12" priority="12">
      <formula>VALUE(RIGHT(B28,1))=3</formula>
    </cfRule>
    <cfRule type="expression" dxfId="11" priority="13">
      <formula>VALUE(RIGHT(B28,1))=5</formula>
    </cfRule>
    <cfRule type="expression" dxfId="10" priority="14">
      <formula>VALUE(RIGHT(B28,1))=2</formula>
    </cfRule>
    <cfRule type="expression" dxfId="9" priority="15">
      <formula>VALUE(RIGHT(B28,1))=4</formula>
    </cfRule>
  </conditionalFormatting>
  <conditionalFormatting sqref="H5:H7 B5:F24">
    <cfRule type="expression" dxfId="8" priority="6">
      <formula>VALUE(RIGHT(B5,1))=1</formula>
    </cfRule>
    <cfRule type="expression" dxfId="7" priority="7">
      <formula>VALUE(RIGHT(B5,1))=2</formula>
    </cfRule>
    <cfRule type="expression" dxfId="6" priority="8">
      <formula>VALUE(RIGHT(B5,1))=3</formula>
    </cfRule>
    <cfRule type="expression" dxfId="5" priority="9">
      <formula>VALUE(RIGHT(B5,1))=4</formula>
    </cfRule>
    <cfRule type="expression" dxfId="4" priority="10">
      <formula>VALUE(RIGHT(B5,1))=5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92629-D55F-4659-8257-7770A5EE0415}">
  <sheetPr>
    <tabColor rgb="FF1F6A4A"/>
  </sheetPr>
  <dimension ref="A1:K31"/>
  <sheetViews>
    <sheetView showGridLines="0" workbookViewId="0"/>
  </sheetViews>
  <sheetFormatPr defaultRowHeight="15"/>
  <cols>
    <col min="3" max="3" width="22.28515625" customWidth="1"/>
    <col min="8" max="8" width="10.7109375" bestFit="1" customWidth="1"/>
    <col min="9" max="9" width="13.5703125" customWidth="1"/>
  </cols>
  <sheetData>
    <row r="1" spans="1:11" ht="18.75">
      <c r="A1" s="24" t="s">
        <v>568</v>
      </c>
      <c r="B1" s="24"/>
      <c r="C1" s="24" t="str" cm="1">
        <f t="array" ref="C1:J11">IFERROR(_xlfn.LET(
    _xlpm.names,   _xlfn._xlws.FILTER($A$2:$A$31, $A$2:$A$31&lt;&gt;""),
    _xlpm.club,    _xlfn.XLOOKUP(_xlpm.names, Players[web_name], Players[team_name],         "—"),
    _xlpm.pos,     _xlfn.XLOOKUP(_xlpm.names, Players[web_name], Players[position_short],    "—"),
    _xlpm.price,   _xlfn.XLOOKUP(_xlpm.names, Players[web_name], Players[price_m],            0),
    _xlpm.points,  _xlfn.XLOOKUP(_xlpm.names, Players[web_name], Players[points],             0),
    _xlpm.ppm,     _xlfn.XLOOKUP(_xlpm.names, Players[web_name], Players[points_per_million], 0),
    _xlpm.mins,    _xlfn.XLOOKUP(_xlpm.names, Players[web_name], Players[minutes],            0),
    _xlpm.games,   _xlfn.XLOOKUP(_xlpm.names, Players[web_name], Players[fixtures],           0),
    _xlpm.share,   IFERROR(_xlpm.mins / (90 * _xlpm.games), 0),
    _xlpm.gws,  _xlfn._xlws.SORT(_xlfn.UNIQUE(Fixtures[gameweek_id])),
    _xlpm.lo,   INDEX(_xlpm.gws, 1),
    _xlpm.hi,   INDEX(_xlpm.gws, 5),
    _xlpm.fdr,  _xlfn.BYROW(_xlpm.club, _xlfn.LAMBDA(_xlpm.c,
              IFERROR(AVERAGE(_xlfn._xlws.FILTER(Fixtures[difficulty],
                 (Fixtures[team_name] = _xlpm.c)
               * (Fixtures[gameweek_id] &gt;= _xlpm.lo)
               * (Fixtures[gameweek_id] &lt;= _xlpm.hi))), 0))),
    _xlpm.verdict, _xlfn.MAP(_xlpm.ppm, _xlpm.share, _xlpm.fdr, _xlfn.LAMBDA(_xlpm.v,_xlpm.s,_xlpm.f,
                 _xlfn.IFS((_xlpm.v&gt;=4)*(_xlpm.s&gt;=0.7)*(_xlpm.f&lt;=3.2), "Strong",
                     (_xlpm.s&lt;0.5)+(_xlpm.f&gt;=4),    "Avoid",
                     TRUE,                   "Watch"))),
    _xlpm.header,  {"Club","Pos","Price","Points","Pts/£m","Mins share","Next 5 FDR","Verdict"},
    _xlpm.body,    _xlfn.HSTACK(_xlpm.club, _xlpm.pos, _xlpm.price, _xlpm.points, _xlpm.ppm, _xlpm.share, _xlpm.fdr, _xlpm.verdict),
    _xlfn.VSTACK(_xlpm.header, _xlpm.body)
), "Add player names in column A")</f>
        <v>Club</v>
      </c>
      <c r="D1" s="24" t="str">
        <v>Pos</v>
      </c>
      <c r="E1" s="24" t="str">
        <v>Price</v>
      </c>
      <c r="F1" s="24" t="str">
        <v>Points</v>
      </c>
      <c r="G1" s="24" t="str">
        <v>Pts/£m</v>
      </c>
      <c r="H1" s="24" t="str">
        <v>Mins share</v>
      </c>
      <c r="I1" s="24" t="str">
        <v>Next 5 FDR</v>
      </c>
      <c r="J1" s="24" t="str">
        <v>Verdict</v>
      </c>
      <c r="K1" s="9"/>
    </row>
    <row r="2" spans="1:11">
      <c r="A2" s="22" t="s">
        <v>175</v>
      </c>
      <c r="C2" t="str">
        <v>Manchester United</v>
      </c>
      <c r="D2" t="str">
        <v>MID</v>
      </c>
      <c r="E2" s="5">
        <v>5.5</v>
      </c>
      <c r="F2" s="2">
        <v>22</v>
      </c>
      <c r="G2" s="3">
        <v>4</v>
      </c>
      <c r="H2" s="10">
        <v>0.78666666666666663</v>
      </c>
      <c r="I2" s="4">
        <v>3</v>
      </c>
      <c r="J2" t="str">
        <v>Strong</v>
      </c>
    </row>
    <row r="3" spans="1:11">
      <c r="A3" s="23" t="s">
        <v>78</v>
      </c>
      <c r="C3" t="str">
        <v>Newcastle United</v>
      </c>
      <c r="D3" t="str">
        <v>DEF</v>
      </c>
      <c r="E3" s="5">
        <v>5.3</v>
      </c>
      <c r="F3" s="2">
        <v>31</v>
      </c>
      <c r="G3" s="3">
        <v>5.85</v>
      </c>
      <c r="H3" s="10">
        <v>0.99777777777777776</v>
      </c>
      <c r="I3" s="4">
        <v>2.8</v>
      </c>
      <c r="J3" t="str">
        <v>Strong</v>
      </c>
    </row>
    <row r="4" spans="1:11">
      <c r="A4" t="s">
        <v>316</v>
      </c>
      <c r="C4" t="str">
        <v>Manchester United</v>
      </c>
      <c r="D4" t="str">
        <v>MID</v>
      </c>
      <c r="E4" s="5">
        <v>11.9</v>
      </c>
      <c r="F4" s="2">
        <v>31</v>
      </c>
      <c r="G4" s="3">
        <v>2.61</v>
      </c>
      <c r="H4" s="10">
        <v>1</v>
      </c>
      <c r="I4" s="4">
        <v>3</v>
      </c>
      <c r="J4" t="str">
        <v>Watch</v>
      </c>
    </row>
    <row r="5" spans="1:11">
      <c r="A5" t="s">
        <v>337</v>
      </c>
      <c r="C5" t="str">
        <v>Manchester City</v>
      </c>
      <c r="D5" t="str">
        <v>FWD</v>
      </c>
      <c r="E5" s="5">
        <v>15.6</v>
      </c>
      <c r="F5" s="2">
        <v>39</v>
      </c>
      <c r="G5" s="3">
        <v>2.5</v>
      </c>
      <c r="H5" s="10">
        <v>1</v>
      </c>
      <c r="I5" s="4">
        <v>3</v>
      </c>
      <c r="J5" t="str">
        <v>Watch</v>
      </c>
    </row>
    <row r="6" spans="1:11">
      <c r="A6" t="s">
        <v>379</v>
      </c>
      <c r="C6" t="str">
        <v>Manchester United</v>
      </c>
      <c r="D6" t="str">
        <v>GKP</v>
      </c>
      <c r="E6" s="5">
        <v>4.9000000000000004</v>
      </c>
      <c r="F6" s="2">
        <v>11</v>
      </c>
      <c r="G6" s="3">
        <v>2.2400000000000002</v>
      </c>
      <c r="H6" s="10">
        <v>1</v>
      </c>
      <c r="I6" s="4">
        <v>3</v>
      </c>
      <c r="J6" t="str">
        <v>Watch</v>
      </c>
    </row>
    <row r="7" spans="1:11">
      <c r="A7" t="s">
        <v>154</v>
      </c>
      <c r="C7" t="str">
        <v>Fulham</v>
      </c>
      <c r="D7" t="str">
        <v>MID</v>
      </c>
      <c r="E7" s="5">
        <v>5.5</v>
      </c>
      <c r="F7" s="2">
        <v>24</v>
      </c>
      <c r="G7" s="3">
        <v>4.3600000000000003</v>
      </c>
      <c r="H7" s="10">
        <v>0.94444444444444442</v>
      </c>
      <c r="I7" s="4">
        <v>2.4</v>
      </c>
      <c r="J7" t="str">
        <v>Strong</v>
      </c>
    </row>
    <row r="8" spans="1:11">
      <c r="A8" t="s">
        <v>32</v>
      </c>
      <c r="C8" t="str">
        <v>Brighton &amp; Hove Albion</v>
      </c>
      <c r="D8" t="str">
        <v>MID</v>
      </c>
      <c r="E8" s="5">
        <v>5.8</v>
      </c>
      <c r="F8" s="2">
        <v>47</v>
      </c>
      <c r="G8" s="3">
        <v>8.1</v>
      </c>
      <c r="H8" s="10">
        <v>1</v>
      </c>
      <c r="I8" s="4">
        <v>3.4</v>
      </c>
      <c r="J8" t="str">
        <v>Watch</v>
      </c>
    </row>
    <row r="9" spans="1:11">
      <c r="A9" s="25" t="s">
        <v>40</v>
      </c>
      <c r="C9" t="str">
        <v>Brighton &amp; Hove Albion</v>
      </c>
      <c r="D9" t="str">
        <v>DEF</v>
      </c>
      <c r="E9" s="5">
        <v>5</v>
      </c>
      <c r="F9" s="2">
        <v>38</v>
      </c>
      <c r="G9" s="3">
        <v>7.6</v>
      </c>
      <c r="H9" s="10">
        <v>0.94</v>
      </c>
      <c r="I9" s="4">
        <v>3.4</v>
      </c>
      <c r="J9" t="str">
        <v>Watch</v>
      </c>
    </row>
    <row r="10" spans="1:11">
      <c r="A10" s="25" t="s">
        <v>236</v>
      </c>
      <c r="C10" t="str">
        <v>Aston Villa</v>
      </c>
      <c r="D10" t="str">
        <v>GKP</v>
      </c>
      <c r="E10" s="5">
        <v>5</v>
      </c>
      <c r="F10" s="2">
        <v>16</v>
      </c>
      <c r="G10" s="3">
        <v>3.2</v>
      </c>
      <c r="H10" s="10">
        <v>0.8</v>
      </c>
      <c r="I10" s="4">
        <v>3.2</v>
      </c>
      <c r="J10" t="str">
        <v>Watch</v>
      </c>
    </row>
    <row r="11" spans="1:11">
      <c r="A11" t="s">
        <v>550</v>
      </c>
      <c r="C11" t="str">
        <v>Newcastle United</v>
      </c>
      <c r="D11" t="str">
        <v>MID</v>
      </c>
      <c r="E11" s="5">
        <v>5.9</v>
      </c>
      <c r="F11" s="2">
        <v>3</v>
      </c>
      <c r="G11" s="3">
        <v>0.51</v>
      </c>
      <c r="H11" s="10">
        <v>0.4022222222222222</v>
      </c>
      <c r="I11" s="4">
        <v>2.8</v>
      </c>
      <c r="J11" t="str">
        <v>Avoid</v>
      </c>
    </row>
    <row r="12" spans="1:11">
      <c r="E12" s="5"/>
      <c r="F12" s="2"/>
      <c r="G12" s="3"/>
      <c r="H12" s="10"/>
      <c r="I12" s="4"/>
    </row>
    <row r="13" spans="1:11">
      <c r="E13" s="5"/>
      <c r="F13" s="2"/>
      <c r="G13" s="3"/>
      <c r="H13" s="10"/>
      <c r="I13" s="4"/>
    </row>
    <row r="14" spans="1:11">
      <c r="E14" s="5"/>
      <c r="F14" s="2"/>
      <c r="G14" s="3"/>
      <c r="H14" s="10"/>
      <c r="I14" s="4"/>
    </row>
    <row r="15" spans="1:11">
      <c r="E15" s="5"/>
      <c r="F15" s="2"/>
      <c r="G15" s="3"/>
      <c r="H15" s="10"/>
      <c r="I15" s="4"/>
    </row>
    <row r="16" spans="1:11">
      <c r="E16" s="5"/>
      <c r="F16" s="2"/>
      <c r="G16" s="3"/>
      <c r="H16" s="10"/>
      <c r="I16" s="4"/>
    </row>
    <row r="17" spans="5:9">
      <c r="E17" s="5"/>
      <c r="F17" s="2"/>
      <c r="G17" s="3"/>
      <c r="H17" s="10"/>
      <c r="I17" s="4"/>
    </row>
    <row r="18" spans="5:9">
      <c r="E18" s="5"/>
      <c r="F18" s="2"/>
      <c r="G18" s="3"/>
      <c r="H18" s="10"/>
      <c r="I18" s="4"/>
    </row>
    <row r="19" spans="5:9">
      <c r="E19" s="5"/>
      <c r="F19" s="2"/>
      <c r="G19" s="3"/>
      <c r="H19" s="10"/>
      <c r="I19" s="4"/>
    </row>
    <row r="20" spans="5:9">
      <c r="E20" s="5"/>
      <c r="F20" s="2"/>
      <c r="G20" s="3"/>
      <c r="H20" s="10"/>
      <c r="I20" s="4"/>
    </row>
    <row r="21" spans="5:9">
      <c r="E21" s="5"/>
      <c r="F21" s="2"/>
      <c r="G21" s="3"/>
      <c r="H21" s="10"/>
      <c r="I21" s="4"/>
    </row>
    <row r="22" spans="5:9">
      <c r="E22" s="5"/>
      <c r="F22" s="2"/>
      <c r="G22" s="3"/>
      <c r="H22" s="10"/>
      <c r="I22" s="4"/>
    </row>
    <row r="23" spans="5:9">
      <c r="E23" s="5"/>
      <c r="F23" s="2"/>
      <c r="G23" s="3"/>
      <c r="H23" s="10"/>
      <c r="I23" s="4"/>
    </row>
    <row r="24" spans="5:9">
      <c r="E24" s="5"/>
      <c r="F24" s="2"/>
      <c r="G24" s="3"/>
      <c r="H24" s="10"/>
      <c r="I24" s="4"/>
    </row>
    <row r="25" spans="5:9">
      <c r="E25" s="5"/>
      <c r="F25" s="2"/>
      <c r="G25" s="3"/>
      <c r="H25" s="10"/>
      <c r="I25" s="4"/>
    </row>
    <row r="26" spans="5:9">
      <c r="E26" s="5"/>
      <c r="F26" s="2"/>
      <c r="G26" s="3"/>
      <c r="H26" s="10"/>
      <c r="I26" s="4"/>
    </row>
    <row r="27" spans="5:9">
      <c r="E27" s="5"/>
      <c r="F27" s="2"/>
      <c r="G27" s="3"/>
      <c r="H27" s="10"/>
      <c r="I27" s="4"/>
    </row>
    <row r="28" spans="5:9">
      <c r="E28" s="5"/>
      <c r="F28" s="2"/>
      <c r="G28" s="3"/>
      <c r="H28" s="10"/>
      <c r="I28" s="4"/>
    </row>
    <row r="29" spans="5:9">
      <c r="E29" s="5"/>
      <c r="F29" s="2"/>
      <c r="G29" s="3"/>
      <c r="H29" s="10"/>
      <c r="I29" s="4"/>
    </row>
    <row r="30" spans="5:9">
      <c r="E30" s="5"/>
      <c r="F30" s="2"/>
      <c r="G30" s="3"/>
      <c r="H30" s="10"/>
      <c r="I30" s="4"/>
    </row>
    <row r="31" spans="5:9">
      <c r="E31" s="5"/>
      <c r="F31" s="2"/>
      <c r="G31" s="3"/>
      <c r="H31" s="10"/>
      <c r="I31" s="4"/>
    </row>
  </sheetData>
  <conditionalFormatting sqref="G2:G31">
    <cfRule type="dataBar" priority="3">
      <dataBar>
        <cfvo type="min"/>
        <cfvo type="max"/>
        <color rgb="FF63C384"/>
      </dataBar>
      <extLst>
        <ext xmlns:x14="http://schemas.microsoft.com/office/spreadsheetml/2009/9/main" uri="{B025F937-C7B1-47D3-B67F-A62EFF666E3E}">
          <x14:id>{60CF0AF6-330A-46DC-AEEA-43E30C972271}</x14:id>
        </ext>
      </extLst>
    </cfRule>
  </conditionalFormatting>
  <conditionalFormatting sqref="I2:I31">
    <cfRule type="colorScale" priority="4">
      <colorScale>
        <cfvo type="num" val="2"/>
        <cfvo type="num" val="3"/>
        <cfvo type="num" val="4"/>
        <color rgb="FFF8696B"/>
        <color rgb="FFFFEB84"/>
        <color rgb="FF63BE7B"/>
      </colorScale>
    </cfRule>
  </conditionalFormatting>
  <conditionalFormatting sqref="J2:J31">
    <cfRule type="containsText" dxfId="3" priority="1" operator="containsText" text="Avoid">
      <formula>NOT(ISERROR(SEARCH("Avoid",J2)))</formula>
    </cfRule>
    <cfRule type="containsText" dxfId="2" priority="2" operator="containsText" text="Strong">
      <formula>NOT(ISERROR(SEARCH("Strong",J2)))</formula>
    </cfRule>
    <cfRule type="containsText" dxfId="1" priority="5" operator="containsText" text="&quot;Avoid&quot;">
      <formula>NOT(ISERROR(SEARCH("""Avoid""",J2)))</formula>
    </cfRule>
    <cfRule type="containsText" dxfId="0" priority="6" operator="containsText" text="&quot;Strong&quot;">
      <formula>NOT(ISERROR(SEARCH("""Strong""",J2)))</formula>
    </cfRule>
  </conditionalFormatting>
  <dataValidations count="2">
    <dataValidation type="list" allowBlank="1" showInputMessage="1" showErrorMessage="1" errorTitle="Not in the player list" sqref="A4:A31" xr:uid="{95F8C553-E429-45A6-AFBE-A928EBD5FBEE}">
      <formula1>"Players[web_name]"</formula1>
    </dataValidation>
    <dataValidation type="list" allowBlank="1" showInputMessage="1" showErrorMessage="1" errorTitle="Not in the player list" sqref="A2" xr:uid="{1B6FD313-8C30-4D22-9D5A-54407DA19054}">
      <formula1>"Data[web_name]"</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0CF0AF6-330A-46DC-AEEA-43E30C972271}">
            <x14:dataBar minLength="0" maxLength="100" border="1" negativeBarBorderColorSameAsPositive="0">
              <x14:cfvo type="autoMin"/>
              <x14:cfvo type="autoMax"/>
              <x14:borderColor rgb="FF63C384"/>
              <x14:negativeFillColor rgb="FFFF0000"/>
              <x14:negativeBorderColor rgb="FFFF0000"/>
              <x14:axisColor rgb="FF000000"/>
            </x14:dataBar>
          </x14:cfRule>
          <xm:sqref>G2:G31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227C-3012-45B4-B5BF-804082F1D0DE}">
  <sheetPr>
    <tabColor rgb="FF8C8F8A"/>
  </sheetPr>
  <dimension ref="A1:U909"/>
  <sheetViews>
    <sheetView workbookViewId="0">
      <selection activeCell="B2" sqref="B2"/>
    </sheetView>
  </sheetViews>
  <sheetFormatPr defaultRowHeight="15"/>
  <cols>
    <col min="1" max="2" width="21.5703125" bestFit="1" customWidth="1"/>
    <col min="3" max="3" width="15.5703125" bestFit="1" customWidth="1"/>
    <col min="4" max="4" width="11.42578125" bestFit="1" customWidth="1"/>
    <col min="5" max="5" width="8.85546875" bestFit="1" customWidth="1"/>
    <col min="6" max="6" width="14.5703125" bestFit="1" customWidth="1"/>
    <col min="7" max="7" width="22.28515625" bestFit="1" customWidth="1"/>
    <col min="8" max="8" width="8.85546875" bestFit="1" customWidth="1"/>
    <col min="9" max="9" width="21.5703125" bestFit="1" customWidth="1"/>
    <col min="10" max="10" width="16.42578125" bestFit="1" customWidth="1"/>
    <col min="11" max="11" width="16.7109375" bestFit="1" customWidth="1"/>
    <col min="12" max="12" width="10.28515625" bestFit="1" customWidth="1"/>
    <col min="13" max="13" width="14.7109375" bestFit="1" customWidth="1"/>
    <col min="14" max="14" width="10.7109375" bestFit="1" customWidth="1"/>
    <col min="15" max="15" width="9" bestFit="1" customWidth="1"/>
    <col min="16" max="16" width="8" bestFit="1" customWidth="1"/>
    <col min="17" max="17" width="9.5703125" bestFit="1" customWidth="1"/>
    <col min="18" max="18" width="15.140625" bestFit="1" customWidth="1"/>
    <col min="19" max="19" width="8.85546875" bestFit="1" customWidth="1"/>
    <col min="20" max="20" width="20.28515625" bestFit="1" customWidth="1"/>
    <col min="21" max="21" width="13.140625" bestFit="1" customWidth="1"/>
  </cols>
  <sheetData>
    <row r="1" spans="1:21">
      <c r="A1" t="s">
        <v>0</v>
      </c>
      <c r="B1" t="s">
        <v>1</v>
      </c>
      <c r="C1" t="s">
        <v>2</v>
      </c>
      <c r="D1" t="s">
        <v>3</v>
      </c>
      <c r="E1" t="s">
        <v>612</v>
      </c>
      <c r="F1" t="s">
        <v>613</v>
      </c>
      <c r="G1" t="s">
        <v>4</v>
      </c>
      <c r="H1" t="s">
        <v>5</v>
      </c>
      <c r="I1" t="s">
        <v>6</v>
      </c>
      <c r="J1" t="s">
        <v>7</v>
      </c>
      <c r="K1" t="s">
        <v>8</v>
      </c>
      <c r="L1" t="s">
        <v>9</v>
      </c>
      <c r="M1" t="s">
        <v>10</v>
      </c>
      <c r="N1" t="s">
        <v>11</v>
      </c>
      <c r="O1" t="s">
        <v>12</v>
      </c>
      <c r="P1" t="s">
        <v>13</v>
      </c>
      <c r="Q1" t="s">
        <v>14</v>
      </c>
      <c r="R1" t="s">
        <v>15</v>
      </c>
      <c r="S1" t="s">
        <v>16</v>
      </c>
      <c r="T1" t="s">
        <v>17</v>
      </c>
      <c r="U1" t="s">
        <v>18</v>
      </c>
    </row>
    <row r="2" spans="1:21">
      <c r="A2">
        <v>457</v>
      </c>
      <c r="B2" t="s">
        <v>550</v>
      </c>
      <c r="C2" t="s">
        <v>551</v>
      </c>
      <c r="D2">
        <v>5.9</v>
      </c>
      <c r="G2">
        <v>0.1</v>
      </c>
      <c r="H2" t="s">
        <v>21</v>
      </c>
      <c r="I2" t="s">
        <v>80</v>
      </c>
      <c r="J2" t="s">
        <v>35</v>
      </c>
      <c r="K2" t="s">
        <v>36</v>
      </c>
      <c r="L2" t="s">
        <v>25</v>
      </c>
      <c r="M2" t="s">
        <v>26</v>
      </c>
      <c r="N2">
        <v>181</v>
      </c>
      <c r="O2">
        <v>3</v>
      </c>
      <c r="P2" t="s">
        <v>28</v>
      </c>
      <c r="Q2" t="s">
        <v>28</v>
      </c>
      <c r="R2" t="s">
        <v>28</v>
      </c>
      <c r="S2" t="s">
        <v>28</v>
      </c>
      <c r="T2">
        <v>0.51</v>
      </c>
      <c r="U2" t="s">
        <v>39</v>
      </c>
    </row>
    <row r="3" spans="1:21">
      <c r="A3">
        <v>492</v>
      </c>
      <c r="B3" t="s">
        <v>548</v>
      </c>
      <c r="C3" t="s">
        <v>549</v>
      </c>
      <c r="D3">
        <v>5.4</v>
      </c>
      <c r="G3">
        <v>0.4</v>
      </c>
      <c r="H3" t="s">
        <v>488</v>
      </c>
      <c r="I3" t="s">
        <v>75</v>
      </c>
      <c r="J3" t="s">
        <v>107</v>
      </c>
      <c r="K3" t="s">
        <v>108</v>
      </c>
      <c r="L3" t="s">
        <v>25</v>
      </c>
      <c r="M3" t="s">
        <v>29</v>
      </c>
      <c r="N3">
        <v>232</v>
      </c>
      <c r="O3">
        <v>3</v>
      </c>
      <c r="P3" t="s">
        <v>28</v>
      </c>
      <c r="Q3" t="s">
        <v>28</v>
      </c>
      <c r="R3" t="s">
        <v>28</v>
      </c>
      <c r="S3" t="s">
        <v>28</v>
      </c>
      <c r="T3">
        <v>0.56000000000000005</v>
      </c>
      <c r="U3" t="s">
        <v>39</v>
      </c>
    </row>
    <row r="4" spans="1:21">
      <c r="A4">
        <v>142</v>
      </c>
      <c r="B4" t="s">
        <v>546</v>
      </c>
      <c r="C4" t="s">
        <v>547</v>
      </c>
      <c r="D4">
        <v>5.4</v>
      </c>
      <c r="G4">
        <v>5.8</v>
      </c>
      <c r="H4" t="s">
        <v>125</v>
      </c>
      <c r="I4" t="s">
        <v>158</v>
      </c>
      <c r="J4" t="s">
        <v>23</v>
      </c>
      <c r="K4" t="s">
        <v>24</v>
      </c>
      <c r="L4" t="s">
        <v>25</v>
      </c>
      <c r="M4" t="s">
        <v>29</v>
      </c>
      <c r="N4">
        <v>292</v>
      </c>
      <c r="O4">
        <v>3</v>
      </c>
      <c r="P4" t="s">
        <v>28</v>
      </c>
      <c r="Q4" t="s">
        <v>28</v>
      </c>
      <c r="R4" t="s">
        <v>28</v>
      </c>
      <c r="S4" t="s">
        <v>28</v>
      </c>
      <c r="T4">
        <v>0.56000000000000005</v>
      </c>
      <c r="U4" t="s">
        <v>39</v>
      </c>
    </row>
    <row r="5" spans="1:21">
      <c r="A5">
        <v>253</v>
      </c>
      <c r="B5" t="s">
        <v>542</v>
      </c>
      <c r="C5" t="s">
        <v>543</v>
      </c>
      <c r="D5">
        <v>5</v>
      </c>
      <c r="G5">
        <v>0.2</v>
      </c>
      <c r="H5" t="s">
        <v>21</v>
      </c>
      <c r="I5" t="s">
        <v>149</v>
      </c>
      <c r="J5" t="s">
        <v>23</v>
      </c>
      <c r="K5" t="s">
        <v>24</v>
      </c>
      <c r="L5" t="s">
        <v>25</v>
      </c>
      <c r="M5" t="s">
        <v>37</v>
      </c>
      <c r="N5">
        <v>190</v>
      </c>
      <c r="O5">
        <v>3</v>
      </c>
      <c r="P5" t="s">
        <v>28</v>
      </c>
      <c r="Q5" t="s">
        <v>28</v>
      </c>
      <c r="R5" t="s">
        <v>28</v>
      </c>
      <c r="S5" t="s">
        <v>28</v>
      </c>
      <c r="T5">
        <v>0.6</v>
      </c>
      <c r="U5" t="s">
        <v>39</v>
      </c>
    </row>
    <row r="6" spans="1:21">
      <c r="A6">
        <v>501</v>
      </c>
      <c r="B6" t="s">
        <v>544</v>
      </c>
      <c r="C6" t="s">
        <v>545</v>
      </c>
      <c r="D6">
        <v>5</v>
      </c>
      <c r="G6">
        <v>0.2</v>
      </c>
      <c r="H6" t="s">
        <v>21</v>
      </c>
      <c r="I6" t="s">
        <v>165</v>
      </c>
      <c r="J6" t="s">
        <v>23</v>
      </c>
      <c r="K6" t="s">
        <v>24</v>
      </c>
      <c r="L6" t="s">
        <v>25</v>
      </c>
      <c r="M6" t="s">
        <v>37</v>
      </c>
      <c r="N6">
        <v>270</v>
      </c>
      <c r="O6">
        <v>3</v>
      </c>
      <c r="P6" t="s">
        <v>28</v>
      </c>
      <c r="Q6" t="s">
        <v>28</v>
      </c>
      <c r="R6" t="s">
        <v>28</v>
      </c>
      <c r="S6" t="s">
        <v>28</v>
      </c>
      <c r="T6">
        <v>0.6</v>
      </c>
      <c r="U6" t="s">
        <v>39</v>
      </c>
    </row>
    <row r="7" spans="1:21">
      <c r="A7">
        <v>149</v>
      </c>
      <c r="B7" t="s">
        <v>540</v>
      </c>
      <c r="C7" t="s">
        <v>541</v>
      </c>
      <c r="D7">
        <v>4.8</v>
      </c>
      <c r="G7">
        <v>0.9</v>
      </c>
      <c r="H7" t="s">
        <v>21</v>
      </c>
      <c r="I7" t="s">
        <v>158</v>
      </c>
      <c r="J7" t="s">
        <v>23</v>
      </c>
      <c r="K7" t="s">
        <v>24</v>
      </c>
      <c r="L7" t="s">
        <v>25</v>
      </c>
      <c r="M7" t="s">
        <v>29</v>
      </c>
      <c r="N7">
        <v>341</v>
      </c>
      <c r="O7">
        <v>3</v>
      </c>
      <c r="P7" t="s">
        <v>28</v>
      </c>
      <c r="Q7" t="s">
        <v>28</v>
      </c>
      <c r="R7" t="s">
        <v>28</v>
      </c>
      <c r="S7" t="s">
        <v>28</v>
      </c>
      <c r="T7">
        <v>0.63</v>
      </c>
      <c r="U7" t="s">
        <v>31</v>
      </c>
    </row>
    <row r="8" spans="1:21">
      <c r="A8">
        <v>34</v>
      </c>
      <c r="B8" t="s">
        <v>538</v>
      </c>
      <c r="C8" t="s">
        <v>539</v>
      </c>
      <c r="D8">
        <v>4.5</v>
      </c>
      <c r="G8">
        <v>0.3</v>
      </c>
      <c r="H8" t="s">
        <v>274</v>
      </c>
      <c r="I8" t="s">
        <v>215</v>
      </c>
      <c r="J8" t="s">
        <v>23</v>
      </c>
      <c r="K8" t="s">
        <v>24</v>
      </c>
      <c r="L8" t="s">
        <v>25</v>
      </c>
      <c r="M8" t="s">
        <v>37</v>
      </c>
      <c r="N8">
        <v>187</v>
      </c>
      <c r="O8">
        <v>3</v>
      </c>
      <c r="P8" t="s">
        <v>28</v>
      </c>
      <c r="Q8" t="s">
        <v>28</v>
      </c>
      <c r="R8" t="s">
        <v>28</v>
      </c>
      <c r="S8" t="s">
        <v>28</v>
      </c>
      <c r="T8">
        <v>0.67</v>
      </c>
      <c r="U8" t="s">
        <v>31</v>
      </c>
    </row>
    <row r="9" spans="1:21">
      <c r="A9">
        <v>289</v>
      </c>
      <c r="B9" t="s">
        <v>536</v>
      </c>
      <c r="C9" t="s">
        <v>537</v>
      </c>
      <c r="D9">
        <v>4.4000000000000004</v>
      </c>
      <c r="G9">
        <v>0.5</v>
      </c>
      <c r="H9" t="s">
        <v>21</v>
      </c>
      <c r="I9" t="s">
        <v>45</v>
      </c>
      <c r="J9" t="s">
        <v>35</v>
      </c>
      <c r="K9" t="s">
        <v>36</v>
      </c>
      <c r="L9" t="s">
        <v>25</v>
      </c>
      <c r="M9" t="s">
        <v>37</v>
      </c>
      <c r="N9">
        <v>203</v>
      </c>
      <c r="O9">
        <v>3</v>
      </c>
      <c r="P9" t="s">
        <v>28</v>
      </c>
      <c r="Q9" t="s">
        <v>28</v>
      </c>
      <c r="R9" t="s">
        <v>42</v>
      </c>
      <c r="S9" t="s">
        <v>28</v>
      </c>
      <c r="T9">
        <v>0.68</v>
      </c>
      <c r="U9" t="s">
        <v>31</v>
      </c>
    </row>
    <row r="10" spans="1:21">
      <c r="A10">
        <v>577</v>
      </c>
      <c r="B10" t="s">
        <v>534</v>
      </c>
      <c r="C10" t="s">
        <v>535</v>
      </c>
      <c r="D10">
        <v>4.4000000000000004</v>
      </c>
      <c r="G10">
        <v>0.3</v>
      </c>
      <c r="H10" t="s">
        <v>125</v>
      </c>
      <c r="I10" t="s">
        <v>91</v>
      </c>
      <c r="J10" t="s">
        <v>23</v>
      </c>
      <c r="K10" t="s">
        <v>24</v>
      </c>
      <c r="L10" t="s">
        <v>25</v>
      </c>
      <c r="M10" t="s">
        <v>29</v>
      </c>
      <c r="N10">
        <v>189</v>
      </c>
      <c r="O10">
        <v>3</v>
      </c>
      <c r="P10" t="s">
        <v>28</v>
      </c>
      <c r="Q10" t="s">
        <v>28</v>
      </c>
      <c r="R10" t="s">
        <v>28</v>
      </c>
      <c r="S10" t="s">
        <v>28</v>
      </c>
      <c r="T10">
        <v>0.68</v>
      </c>
      <c r="U10" t="s">
        <v>31</v>
      </c>
    </row>
    <row r="11" spans="1:21">
      <c r="A11">
        <v>306</v>
      </c>
      <c r="B11" t="s">
        <v>532</v>
      </c>
      <c r="C11" t="s">
        <v>533</v>
      </c>
      <c r="D11">
        <v>4</v>
      </c>
      <c r="G11">
        <v>1.1000000000000001</v>
      </c>
      <c r="H11" t="s">
        <v>21</v>
      </c>
      <c r="I11" t="s">
        <v>66</v>
      </c>
      <c r="J11" t="s">
        <v>23</v>
      </c>
      <c r="K11" t="s">
        <v>24</v>
      </c>
      <c r="L11" t="s">
        <v>25</v>
      </c>
      <c r="M11" t="s">
        <v>29</v>
      </c>
      <c r="N11">
        <v>357</v>
      </c>
      <c r="O11">
        <v>3</v>
      </c>
      <c r="P11" t="s">
        <v>28</v>
      </c>
      <c r="Q11" t="s">
        <v>28</v>
      </c>
      <c r="R11" t="s">
        <v>28</v>
      </c>
      <c r="S11" t="s">
        <v>28</v>
      </c>
      <c r="T11">
        <v>0.75</v>
      </c>
      <c r="U11" t="s">
        <v>31</v>
      </c>
    </row>
    <row r="12" spans="1:21">
      <c r="A12">
        <v>144</v>
      </c>
      <c r="B12" t="s">
        <v>530</v>
      </c>
      <c r="C12" t="s">
        <v>531</v>
      </c>
      <c r="D12">
        <v>4.9000000000000004</v>
      </c>
      <c r="G12">
        <v>1</v>
      </c>
      <c r="H12" t="s">
        <v>21</v>
      </c>
      <c r="I12" t="s">
        <v>158</v>
      </c>
      <c r="J12" t="s">
        <v>23</v>
      </c>
      <c r="K12" t="s">
        <v>24</v>
      </c>
      <c r="L12" t="s">
        <v>25</v>
      </c>
      <c r="M12" t="s">
        <v>29</v>
      </c>
      <c r="N12">
        <v>272</v>
      </c>
      <c r="O12">
        <v>4</v>
      </c>
      <c r="P12" t="s">
        <v>28</v>
      </c>
      <c r="Q12" t="s">
        <v>28</v>
      </c>
      <c r="R12" t="s">
        <v>28</v>
      </c>
      <c r="S12" t="s">
        <v>28</v>
      </c>
      <c r="T12">
        <v>0.82</v>
      </c>
      <c r="U12" t="s">
        <v>31</v>
      </c>
    </row>
    <row r="13" spans="1:21">
      <c r="A13">
        <v>64</v>
      </c>
      <c r="B13" t="s">
        <v>528</v>
      </c>
      <c r="C13" t="s">
        <v>529</v>
      </c>
      <c r="D13">
        <v>4.5</v>
      </c>
      <c r="G13">
        <v>0.1</v>
      </c>
      <c r="H13" t="s">
        <v>21</v>
      </c>
      <c r="I13" t="s">
        <v>96</v>
      </c>
      <c r="J13" t="s">
        <v>23</v>
      </c>
      <c r="K13" t="s">
        <v>24</v>
      </c>
      <c r="L13" t="s">
        <v>25</v>
      </c>
      <c r="M13" t="s">
        <v>26</v>
      </c>
      <c r="N13">
        <v>434</v>
      </c>
      <c r="O13">
        <v>4</v>
      </c>
      <c r="P13" t="s">
        <v>28</v>
      </c>
      <c r="Q13" t="s">
        <v>28</v>
      </c>
      <c r="R13" t="s">
        <v>28</v>
      </c>
      <c r="S13" t="s">
        <v>28</v>
      </c>
      <c r="T13">
        <v>0.89</v>
      </c>
      <c r="U13" t="s">
        <v>31</v>
      </c>
    </row>
    <row r="14" spans="1:21">
      <c r="A14">
        <v>201</v>
      </c>
      <c r="B14" t="s">
        <v>526</v>
      </c>
      <c r="C14" t="s">
        <v>527</v>
      </c>
      <c r="D14">
        <v>5.4</v>
      </c>
      <c r="G14">
        <v>5.7</v>
      </c>
      <c r="H14" t="s">
        <v>21</v>
      </c>
      <c r="I14" t="s">
        <v>170</v>
      </c>
      <c r="J14" t="s">
        <v>23</v>
      </c>
      <c r="K14" t="s">
        <v>24</v>
      </c>
      <c r="L14" t="s">
        <v>25</v>
      </c>
      <c r="M14" t="s">
        <v>29</v>
      </c>
      <c r="N14">
        <v>257</v>
      </c>
      <c r="O14">
        <v>5</v>
      </c>
      <c r="P14" t="s">
        <v>28</v>
      </c>
      <c r="Q14" t="s">
        <v>28</v>
      </c>
      <c r="R14" t="s">
        <v>28</v>
      </c>
      <c r="S14" t="s">
        <v>28</v>
      </c>
      <c r="T14">
        <v>0.93</v>
      </c>
      <c r="U14" t="s">
        <v>39</v>
      </c>
    </row>
    <row r="15" spans="1:21">
      <c r="A15">
        <v>190</v>
      </c>
      <c r="B15" t="s">
        <v>524</v>
      </c>
      <c r="C15" t="s">
        <v>525</v>
      </c>
      <c r="D15">
        <v>5.4</v>
      </c>
      <c r="G15">
        <v>0.1</v>
      </c>
      <c r="H15" t="s">
        <v>21</v>
      </c>
      <c r="I15" t="s">
        <v>75</v>
      </c>
      <c r="J15" t="s">
        <v>35</v>
      </c>
      <c r="K15" t="s">
        <v>36</v>
      </c>
      <c r="L15" t="s">
        <v>25</v>
      </c>
      <c r="M15" t="s">
        <v>29</v>
      </c>
      <c r="N15">
        <v>211</v>
      </c>
      <c r="O15">
        <v>5</v>
      </c>
      <c r="P15" t="s">
        <v>28</v>
      </c>
      <c r="Q15" t="s">
        <v>28</v>
      </c>
      <c r="R15" t="s">
        <v>28</v>
      </c>
      <c r="S15" t="s">
        <v>28</v>
      </c>
      <c r="T15">
        <v>0.93</v>
      </c>
      <c r="U15" t="s">
        <v>39</v>
      </c>
    </row>
    <row r="16" spans="1:21">
      <c r="A16">
        <v>186</v>
      </c>
      <c r="B16" t="s">
        <v>522</v>
      </c>
      <c r="C16" t="s">
        <v>523</v>
      </c>
      <c r="D16">
        <v>5.3</v>
      </c>
      <c r="G16">
        <v>0.1</v>
      </c>
      <c r="H16" t="s">
        <v>21</v>
      </c>
      <c r="I16" t="s">
        <v>75</v>
      </c>
      <c r="J16" t="s">
        <v>35</v>
      </c>
      <c r="K16" t="s">
        <v>36</v>
      </c>
      <c r="L16" t="s">
        <v>25</v>
      </c>
      <c r="M16" t="s">
        <v>29</v>
      </c>
      <c r="N16">
        <v>231</v>
      </c>
      <c r="O16">
        <v>5</v>
      </c>
      <c r="P16" t="s">
        <v>28</v>
      </c>
      <c r="Q16" t="s">
        <v>28</v>
      </c>
      <c r="R16" t="s">
        <v>28</v>
      </c>
      <c r="S16" t="s">
        <v>28</v>
      </c>
      <c r="T16">
        <v>0.94</v>
      </c>
      <c r="U16" t="s">
        <v>39</v>
      </c>
    </row>
    <row r="17" spans="1:21">
      <c r="A17">
        <v>198</v>
      </c>
      <c r="B17" t="s">
        <v>520</v>
      </c>
      <c r="C17" t="s">
        <v>521</v>
      </c>
      <c r="D17">
        <v>5</v>
      </c>
      <c r="G17">
        <v>1.3</v>
      </c>
      <c r="H17" t="s">
        <v>274</v>
      </c>
      <c r="I17" t="s">
        <v>91</v>
      </c>
      <c r="J17" t="s">
        <v>46</v>
      </c>
      <c r="K17" t="s">
        <v>47</v>
      </c>
      <c r="L17" t="s">
        <v>25</v>
      </c>
      <c r="M17" t="s">
        <v>37</v>
      </c>
      <c r="N17">
        <v>270</v>
      </c>
      <c r="O17">
        <v>5</v>
      </c>
      <c r="P17" t="s">
        <v>28</v>
      </c>
      <c r="Q17" t="s">
        <v>28</v>
      </c>
      <c r="R17" t="s">
        <v>28</v>
      </c>
      <c r="S17" t="s">
        <v>28</v>
      </c>
      <c r="T17">
        <v>1</v>
      </c>
      <c r="U17" t="s">
        <v>39</v>
      </c>
    </row>
    <row r="18" spans="1:21">
      <c r="A18">
        <v>182</v>
      </c>
      <c r="B18" t="s">
        <v>518</v>
      </c>
      <c r="C18" t="s">
        <v>519</v>
      </c>
      <c r="D18">
        <v>4</v>
      </c>
      <c r="G18">
        <v>0.6</v>
      </c>
      <c r="H18" t="s">
        <v>274</v>
      </c>
      <c r="I18" t="s">
        <v>75</v>
      </c>
      <c r="J18" t="s">
        <v>23</v>
      </c>
      <c r="K18" t="s">
        <v>24</v>
      </c>
      <c r="L18" t="s">
        <v>25</v>
      </c>
      <c r="M18" t="s">
        <v>29</v>
      </c>
      <c r="N18">
        <v>360</v>
      </c>
      <c r="O18">
        <v>4</v>
      </c>
      <c r="P18" t="s">
        <v>28</v>
      </c>
      <c r="Q18" t="s">
        <v>28</v>
      </c>
      <c r="R18" t="s">
        <v>28</v>
      </c>
      <c r="S18" t="s">
        <v>28</v>
      </c>
      <c r="T18">
        <v>1</v>
      </c>
      <c r="U18" t="s">
        <v>31</v>
      </c>
    </row>
    <row r="19" spans="1:21">
      <c r="A19">
        <v>583</v>
      </c>
      <c r="B19" t="s">
        <v>516</v>
      </c>
      <c r="C19" t="s">
        <v>517</v>
      </c>
      <c r="D19">
        <v>4.9000000000000004</v>
      </c>
      <c r="G19">
        <v>0.1</v>
      </c>
      <c r="H19" t="s">
        <v>21</v>
      </c>
      <c r="I19" t="s">
        <v>158</v>
      </c>
      <c r="J19" t="s">
        <v>23</v>
      </c>
      <c r="K19" t="s">
        <v>24</v>
      </c>
      <c r="L19" t="s">
        <v>25</v>
      </c>
      <c r="M19" t="s">
        <v>26</v>
      </c>
      <c r="N19">
        <v>208</v>
      </c>
      <c r="O19">
        <v>5</v>
      </c>
      <c r="P19" t="s">
        <v>28</v>
      </c>
      <c r="Q19" t="s">
        <v>28</v>
      </c>
      <c r="R19" t="s">
        <v>28</v>
      </c>
      <c r="S19" t="s">
        <v>28</v>
      </c>
      <c r="T19">
        <v>1.02</v>
      </c>
      <c r="U19" t="s">
        <v>31</v>
      </c>
    </row>
    <row r="20" spans="1:21">
      <c r="A20">
        <v>151</v>
      </c>
      <c r="B20" t="s">
        <v>514</v>
      </c>
      <c r="C20" t="s">
        <v>515</v>
      </c>
      <c r="D20">
        <v>4.5</v>
      </c>
      <c r="G20">
        <v>0.3</v>
      </c>
      <c r="H20" t="s">
        <v>21</v>
      </c>
      <c r="I20" t="s">
        <v>158</v>
      </c>
      <c r="J20" t="s">
        <v>23</v>
      </c>
      <c r="K20" t="s">
        <v>24</v>
      </c>
      <c r="L20" t="s">
        <v>25</v>
      </c>
      <c r="M20" t="s">
        <v>29</v>
      </c>
      <c r="N20">
        <v>221</v>
      </c>
      <c r="O20">
        <v>5</v>
      </c>
      <c r="P20" t="s">
        <v>28</v>
      </c>
      <c r="Q20" t="s">
        <v>28</v>
      </c>
      <c r="R20" t="s">
        <v>28</v>
      </c>
      <c r="S20" t="s">
        <v>28</v>
      </c>
      <c r="T20">
        <v>1.1100000000000001</v>
      </c>
      <c r="U20" t="s">
        <v>31</v>
      </c>
    </row>
    <row r="21" spans="1:21">
      <c r="A21">
        <v>401</v>
      </c>
      <c r="B21" t="s">
        <v>512</v>
      </c>
      <c r="C21" t="s">
        <v>513</v>
      </c>
      <c r="D21">
        <v>7</v>
      </c>
      <c r="G21">
        <v>2.1</v>
      </c>
      <c r="H21" t="s">
        <v>21</v>
      </c>
      <c r="I21" t="s">
        <v>122</v>
      </c>
      <c r="J21" t="s">
        <v>107</v>
      </c>
      <c r="K21" t="s">
        <v>108</v>
      </c>
      <c r="L21" t="s">
        <v>25</v>
      </c>
      <c r="M21" t="s">
        <v>29</v>
      </c>
      <c r="N21">
        <v>339</v>
      </c>
      <c r="O21">
        <v>8</v>
      </c>
      <c r="P21" t="s">
        <v>28</v>
      </c>
      <c r="Q21" t="s">
        <v>28</v>
      </c>
      <c r="R21" t="s">
        <v>27</v>
      </c>
      <c r="S21" t="s">
        <v>28</v>
      </c>
      <c r="T21">
        <v>1.1399999999999999</v>
      </c>
      <c r="U21" t="s">
        <v>146</v>
      </c>
    </row>
    <row r="22" spans="1:21">
      <c r="A22">
        <v>419</v>
      </c>
      <c r="B22" t="s">
        <v>446</v>
      </c>
      <c r="C22" t="s">
        <v>511</v>
      </c>
      <c r="D22">
        <v>5</v>
      </c>
      <c r="G22">
        <v>1.3</v>
      </c>
      <c r="H22" t="s">
        <v>21</v>
      </c>
      <c r="I22" t="s">
        <v>177</v>
      </c>
      <c r="J22" t="s">
        <v>23</v>
      </c>
      <c r="K22" t="s">
        <v>24</v>
      </c>
      <c r="L22" t="s">
        <v>25</v>
      </c>
      <c r="M22" t="s">
        <v>29</v>
      </c>
      <c r="N22">
        <v>360</v>
      </c>
      <c r="O22">
        <v>6</v>
      </c>
      <c r="P22" t="s">
        <v>28</v>
      </c>
      <c r="Q22" t="s">
        <v>28</v>
      </c>
      <c r="R22" t="s">
        <v>28</v>
      </c>
      <c r="S22" t="s">
        <v>28</v>
      </c>
      <c r="T22">
        <v>1.2</v>
      </c>
      <c r="U22" t="s">
        <v>39</v>
      </c>
    </row>
    <row r="23" spans="1:21">
      <c r="A23">
        <v>246</v>
      </c>
      <c r="B23" t="s">
        <v>509</v>
      </c>
      <c r="C23" t="s">
        <v>510</v>
      </c>
      <c r="D23">
        <v>4.9000000000000004</v>
      </c>
      <c r="G23">
        <v>0</v>
      </c>
      <c r="H23" t="s">
        <v>274</v>
      </c>
      <c r="I23" t="s">
        <v>50</v>
      </c>
      <c r="J23" t="s">
        <v>35</v>
      </c>
      <c r="K23" t="s">
        <v>36</v>
      </c>
      <c r="L23" t="s">
        <v>25</v>
      </c>
      <c r="M23" t="s">
        <v>37</v>
      </c>
      <c r="N23">
        <v>249</v>
      </c>
      <c r="O23">
        <v>6</v>
      </c>
      <c r="P23" t="s">
        <v>28</v>
      </c>
      <c r="Q23" t="s">
        <v>28</v>
      </c>
      <c r="R23" t="s">
        <v>42</v>
      </c>
      <c r="S23" t="s">
        <v>28</v>
      </c>
      <c r="T23">
        <v>1.22</v>
      </c>
      <c r="U23" t="s">
        <v>31</v>
      </c>
    </row>
    <row r="24" spans="1:21">
      <c r="A24">
        <v>403</v>
      </c>
      <c r="B24" t="s">
        <v>505</v>
      </c>
      <c r="C24" t="s">
        <v>506</v>
      </c>
      <c r="D24">
        <v>6.5</v>
      </c>
      <c r="G24">
        <v>0.7</v>
      </c>
      <c r="H24" t="s">
        <v>21</v>
      </c>
      <c r="I24" t="s">
        <v>122</v>
      </c>
      <c r="J24" t="s">
        <v>35</v>
      </c>
      <c r="K24" t="s">
        <v>36</v>
      </c>
      <c r="L24" t="s">
        <v>25</v>
      </c>
      <c r="M24" t="s">
        <v>37</v>
      </c>
      <c r="N24">
        <v>240</v>
      </c>
      <c r="O24">
        <v>8</v>
      </c>
      <c r="P24" t="s">
        <v>28</v>
      </c>
      <c r="Q24" t="s">
        <v>28</v>
      </c>
      <c r="R24" t="s">
        <v>27</v>
      </c>
      <c r="S24" t="s">
        <v>28</v>
      </c>
      <c r="T24">
        <v>1.23</v>
      </c>
      <c r="U24" t="s">
        <v>39</v>
      </c>
    </row>
    <row r="25" spans="1:21">
      <c r="A25">
        <v>525</v>
      </c>
      <c r="B25" t="s">
        <v>507</v>
      </c>
      <c r="C25" t="s">
        <v>508</v>
      </c>
      <c r="D25">
        <v>5.7</v>
      </c>
      <c r="G25">
        <v>0.8</v>
      </c>
      <c r="H25" t="s">
        <v>21</v>
      </c>
      <c r="I25" t="s">
        <v>122</v>
      </c>
      <c r="J25" t="s">
        <v>35</v>
      </c>
      <c r="K25" t="s">
        <v>36</v>
      </c>
      <c r="L25" t="s">
        <v>25</v>
      </c>
      <c r="M25" t="s">
        <v>26</v>
      </c>
      <c r="N25">
        <v>249</v>
      </c>
      <c r="O25">
        <v>7</v>
      </c>
      <c r="P25" t="s">
        <v>28</v>
      </c>
      <c r="Q25" t="s">
        <v>28</v>
      </c>
      <c r="R25" t="s">
        <v>42</v>
      </c>
      <c r="S25" t="s">
        <v>28</v>
      </c>
      <c r="T25">
        <v>1.23</v>
      </c>
      <c r="U25" t="s">
        <v>39</v>
      </c>
    </row>
    <row r="26" spans="1:21">
      <c r="A26">
        <v>585</v>
      </c>
      <c r="B26" t="s">
        <v>503</v>
      </c>
      <c r="C26" t="s">
        <v>504</v>
      </c>
      <c r="D26">
        <v>4</v>
      </c>
      <c r="G26">
        <v>0.6</v>
      </c>
      <c r="H26" t="s">
        <v>21</v>
      </c>
      <c r="I26" t="s">
        <v>45</v>
      </c>
      <c r="J26" t="s">
        <v>23</v>
      </c>
      <c r="K26" t="s">
        <v>24</v>
      </c>
      <c r="L26" t="s">
        <v>25</v>
      </c>
      <c r="M26" t="s">
        <v>26</v>
      </c>
      <c r="N26">
        <v>197</v>
      </c>
      <c r="O26">
        <v>5</v>
      </c>
      <c r="P26" t="s">
        <v>28</v>
      </c>
      <c r="Q26" t="s">
        <v>28</v>
      </c>
      <c r="R26" t="s">
        <v>28</v>
      </c>
      <c r="S26" t="s">
        <v>28</v>
      </c>
      <c r="T26">
        <v>1.25</v>
      </c>
      <c r="U26" t="s">
        <v>31</v>
      </c>
    </row>
    <row r="27" spans="1:21">
      <c r="A27">
        <v>106</v>
      </c>
      <c r="B27" t="s">
        <v>501</v>
      </c>
      <c r="C27" t="s">
        <v>502</v>
      </c>
      <c r="D27">
        <v>7.8</v>
      </c>
      <c r="G27">
        <v>9.1</v>
      </c>
      <c r="H27" t="s">
        <v>21</v>
      </c>
      <c r="I27" t="s">
        <v>63</v>
      </c>
      <c r="J27" t="s">
        <v>107</v>
      </c>
      <c r="K27" t="s">
        <v>108</v>
      </c>
      <c r="L27" t="s">
        <v>25</v>
      </c>
      <c r="M27" t="s">
        <v>26</v>
      </c>
      <c r="N27">
        <v>442</v>
      </c>
      <c r="O27">
        <v>10</v>
      </c>
      <c r="P27" t="s">
        <v>42</v>
      </c>
      <c r="Q27" t="s">
        <v>28</v>
      </c>
      <c r="R27" t="s">
        <v>27</v>
      </c>
      <c r="S27" t="s">
        <v>28</v>
      </c>
      <c r="T27">
        <v>1.28</v>
      </c>
      <c r="U27" t="s">
        <v>146</v>
      </c>
    </row>
    <row r="28" spans="1:21">
      <c r="A28">
        <v>398</v>
      </c>
      <c r="B28" t="s">
        <v>499</v>
      </c>
      <c r="C28" t="s">
        <v>500</v>
      </c>
      <c r="D28">
        <v>6.9</v>
      </c>
      <c r="G28">
        <v>1.8</v>
      </c>
      <c r="H28" t="s">
        <v>488</v>
      </c>
      <c r="I28" t="s">
        <v>54</v>
      </c>
      <c r="J28" t="s">
        <v>35</v>
      </c>
      <c r="K28" t="s">
        <v>36</v>
      </c>
      <c r="L28" t="s">
        <v>25</v>
      </c>
      <c r="M28" t="s">
        <v>29</v>
      </c>
      <c r="N28">
        <v>217</v>
      </c>
      <c r="O28">
        <v>9</v>
      </c>
      <c r="P28" t="s">
        <v>28</v>
      </c>
      <c r="Q28" t="s">
        <v>27</v>
      </c>
      <c r="R28" t="s">
        <v>28</v>
      </c>
      <c r="S28" t="s">
        <v>42</v>
      </c>
      <c r="T28">
        <v>1.3</v>
      </c>
      <c r="U28" t="s">
        <v>39</v>
      </c>
    </row>
    <row r="29" spans="1:21">
      <c r="A29">
        <v>337</v>
      </c>
      <c r="B29" t="s">
        <v>497</v>
      </c>
      <c r="C29" t="s">
        <v>498</v>
      </c>
      <c r="D29">
        <v>5.3</v>
      </c>
      <c r="G29">
        <v>0.5</v>
      </c>
      <c r="H29" t="s">
        <v>21</v>
      </c>
      <c r="I29" t="s">
        <v>22</v>
      </c>
      <c r="J29" t="s">
        <v>35</v>
      </c>
      <c r="K29" t="s">
        <v>36</v>
      </c>
      <c r="L29" t="s">
        <v>25</v>
      </c>
      <c r="M29" t="s">
        <v>26</v>
      </c>
      <c r="N29">
        <v>194</v>
      </c>
      <c r="O29">
        <v>7</v>
      </c>
      <c r="P29" t="s">
        <v>28</v>
      </c>
      <c r="Q29" t="s">
        <v>28</v>
      </c>
      <c r="R29" t="s">
        <v>42</v>
      </c>
      <c r="S29" t="s">
        <v>28</v>
      </c>
      <c r="T29">
        <v>1.32</v>
      </c>
      <c r="U29" t="s">
        <v>39</v>
      </c>
    </row>
    <row r="30" spans="1:21">
      <c r="A30">
        <v>32</v>
      </c>
      <c r="B30" t="s">
        <v>495</v>
      </c>
      <c r="C30" t="s">
        <v>496</v>
      </c>
      <c r="D30">
        <v>4.4000000000000004</v>
      </c>
      <c r="G30">
        <v>4.8</v>
      </c>
      <c r="H30" t="s">
        <v>21</v>
      </c>
      <c r="I30" t="s">
        <v>215</v>
      </c>
      <c r="J30" t="s">
        <v>23</v>
      </c>
      <c r="K30" t="s">
        <v>24</v>
      </c>
      <c r="L30" t="s">
        <v>25</v>
      </c>
      <c r="M30" t="s">
        <v>29</v>
      </c>
      <c r="N30">
        <v>296</v>
      </c>
      <c r="O30">
        <v>6</v>
      </c>
      <c r="P30" t="s">
        <v>28</v>
      </c>
      <c r="Q30" t="s">
        <v>28</v>
      </c>
      <c r="R30" t="s">
        <v>42</v>
      </c>
      <c r="S30" t="s">
        <v>28</v>
      </c>
      <c r="T30">
        <v>1.36</v>
      </c>
      <c r="U30" t="s">
        <v>31</v>
      </c>
    </row>
    <row r="31" spans="1:21">
      <c r="A31">
        <v>514</v>
      </c>
      <c r="B31" t="s">
        <v>491</v>
      </c>
      <c r="C31" t="s">
        <v>492</v>
      </c>
      <c r="D31">
        <v>5.7</v>
      </c>
      <c r="G31">
        <v>0.2</v>
      </c>
      <c r="H31" t="s">
        <v>21</v>
      </c>
      <c r="I31" t="s">
        <v>122</v>
      </c>
      <c r="J31" t="s">
        <v>35</v>
      </c>
      <c r="K31" t="s">
        <v>36</v>
      </c>
      <c r="L31" t="s">
        <v>25</v>
      </c>
      <c r="M31" t="s">
        <v>29</v>
      </c>
      <c r="N31">
        <v>257</v>
      </c>
      <c r="O31">
        <v>8</v>
      </c>
      <c r="P31" t="s">
        <v>28</v>
      </c>
      <c r="Q31" t="s">
        <v>28</v>
      </c>
      <c r="R31" t="s">
        <v>42</v>
      </c>
      <c r="S31" t="s">
        <v>28</v>
      </c>
      <c r="T31">
        <v>1.4</v>
      </c>
      <c r="U31" t="s">
        <v>39</v>
      </c>
    </row>
    <row r="32" spans="1:21">
      <c r="A32">
        <v>576</v>
      </c>
      <c r="B32" t="s">
        <v>493</v>
      </c>
      <c r="C32" t="s">
        <v>494</v>
      </c>
      <c r="D32">
        <v>5</v>
      </c>
      <c r="G32">
        <v>0.1</v>
      </c>
      <c r="H32" t="s">
        <v>21</v>
      </c>
      <c r="I32" t="s">
        <v>45</v>
      </c>
      <c r="J32" t="s">
        <v>35</v>
      </c>
      <c r="K32" t="s">
        <v>36</v>
      </c>
      <c r="L32" t="s">
        <v>25</v>
      </c>
      <c r="M32" t="s">
        <v>29</v>
      </c>
      <c r="N32">
        <v>249</v>
      </c>
      <c r="O32">
        <v>7</v>
      </c>
      <c r="P32" t="s">
        <v>28</v>
      </c>
      <c r="Q32" t="s">
        <v>28</v>
      </c>
      <c r="R32" t="s">
        <v>27</v>
      </c>
      <c r="S32" t="s">
        <v>28</v>
      </c>
      <c r="T32">
        <v>1.4</v>
      </c>
      <c r="U32" t="s">
        <v>39</v>
      </c>
    </row>
    <row r="33" spans="1:21">
      <c r="A33">
        <v>429</v>
      </c>
      <c r="B33" t="s">
        <v>489</v>
      </c>
      <c r="C33" t="s">
        <v>490</v>
      </c>
      <c r="D33">
        <v>7</v>
      </c>
      <c r="G33">
        <v>1.5</v>
      </c>
      <c r="H33" t="s">
        <v>125</v>
      </c>
      <c r="I33" t="s">
        <v>177</v>
      </c>
      <c r="J33" t="s">
        <v>35</v>
      </c>
      <c r="K33" t="s">
        <v>36</v>
      </c>
      <c r="L33" t="s">
        <v>25</v>
      </c>
      <c r="M33" t="s">
        <v>26</v>
      </c>
      <c r="N33">
        <v>351</v>
      </c>
      <c r="O33">
        <v>10</v>
      </c>
      <c r="P33" t="s">
        <v>28</v>
      </c>
      <c r="Q33" t="s">
        <v>28</v>
      </c>
      <c r="R33" t="s">
        <v>42</v>
      </c>
      <c r="S33" t="s">
        <v>28</v>
      </c>
      <c r="T33">
        <v>1.43</v>
      </c>
      <c r="U33" t="s">
        <v>146</v>
      </c>
    </row>
    <row r="34" spans="1:21">
      <c r="A34">
        <v>315</v>
      </c>
      <c r="B34" t="s">
        <v>486</v>
      </c>
      <c r="C34" t="s">
        <v>487</v>
      </c>
      <c r="D34">
        <v>5.4</v>
      </c>
      <c r="G34">
        <v>0.2</v>
      </c>
      <c r="H34" t="s">
        <v>488</v>
      </c>
      <c r="I34" t="s">
        <v>66</v>
      </c>
      <c r="J34" t="s">
        <v>35</v>
      </c>
      <c r="K34" t="s">
        <v>36</v>
      </c>
      <c r="L34" t="s">
        <v>25</v>
      </c>
      <c r="M34" t="s">
        <v>26</v>
      </c>
      <c r="N34">
        <v>352</v>
      </c>
      <c r="O34">
        <v>8</v>
      </c>
      <c r="P34" t="s">
        <v>28</v>
      </c>
      <c r="Q34" t="s">
        <v>42</v>
      </c>
      <c r="R34" t="s">
        <v>28</v>
      </c>
      <c r="S34" t="s">
        <v>28</v>
      </c>
      <c r="T34">
        <v>1.48</v>
      </c>
      <c r="U34" t="s">
        <v>39</v>
      </c>
    </row>
    <row r="35" spans="1:21">
      <c r="A35">
        <v>175</v>
      </c>
      <c r="B35" t="s">
        <v>484</v>
      </c>
      <c r="C35" t="s">
        <v>485</v>
      </c>
      <c r="D35">
        <v>4</v>
      </c>
      <c r="G35">
        <v>8.8000000000000007</v>
      </c>
      <c r="H35" t="s">
        <v>125</v>
      </c>
      <c r="I35" t="s">
        <v>75</v>
      </c>
      <c r="J35" t="s">
        <v>23</v>
      </c>
      <c r="K35" t="s">
        <v>24</v>
      </c>
      <c r="L35" t="s">
        <v>25</v>
      </c>
      <c r="M35" t="s">
        <v>29</v>
      </c>
      <c r="N35">
        <v>360</v>
      </c>
      <c r="O35">
        <v>6</v>
      </c>
      <c r="P35" t="s">
        <v>28</v>
      </c>
      <c r="Q35" t="s">
        <v>28</v>
      </c>
      <c r="R35" t="s">
        <v>28</v>
      </c>
      <c r="S35" t="s">
        <v>28</v>
      </c>
      <c r="T35">
        <v>1.5</v>
      </c>
      <c r="U35" t="s">
        <v>31</v>
      </c>
    </row>
    <row r="36" spans="1:21">
      <c r="A36">
        <v>562</v>
      </c>
      <c r="B36" t="s">
        <v>482</v>
      </c>
      <c r="C36" t="s">
        <v>483</v>
      </c>
      <c r="D36">
        <v>5.3</v>
      </c>
      <c r="G36">
        <v>0.2</v>
      </c>
      <c r="H36" t="s">
        <v>21</v>
      </c>
      <c r="I36" t="s">
        <v>66</v>
      </c>
      <c r="J36" t="s">
        <v>35</v>
      </c>
      <c r="K36" t="s">
        <v>36</v>
      </c>
      <c r="L36" t="s">
        <v>25</v>
      </c>
      <c r="M36" t="s">
        <v>26</v>
      </c>
      <c r="N36">
        <v>259</v>
      </c>
      <c r="O36">
        <v>8</v>
      </c>
      <c r="P36" t="s">
        <v>28</v>
      </c>
      <c r="Q36" t="s">
        <v>28</v>
      </c>
      <c r="R36" t="s">
        <v>28</v>
      </c>
      <c r="S36" t="s">
        <v>28</v>
      </c>
      <c r="T36">
        <v>1.51</v>
      </c>
      <c r="U36" t="s">
        <v>39</v>
      </c>
    </row>
    <row r="37" spans="1:21">
      <c r="A37">
        <v>209</v>
      </c>
      <c r="B37" t="s">
        <v>480</v>
      </c>
      <c r="C37" t="s">
        <v>481</v>
      </c>
      <c r="D37">
        <v>5.9</v>
      </c>
      <c r="G37">
        <v>0.1</v>
      </c>
      <c r="H37" t="s">
        <v>21</v>
      </c>
      <c r="I37" t="s">
        <v>50</v>
      </c>
      <c r="J37" t="s">
        <v>35</v>
      </c>
      <c r="K37" t="s">
        <v>36</v>
      </c>
      <c r="L37" t="s">
        <v>25</v>
      </c>
      <c r="M37" t="s">
        <v>26</v>
      </c>
      <c r="N37">
        <v>238</v>
      </c>
      <c r="O37">
        <v>9</v>
      </c>
      <c r="P37" t="s">
        <v>28</v>
      </c>
      <c r="Q37" t="s">
        <v>28</v>
      </c>
      <c r="R37" t="s">
        <v>27</v>
      </c>
      <c r="S37" t="s">
        <v>28</v>
      </c>
      <c r="T37">
        <v>1.53</v>
      </c>
      <c r="U37" t="s">
        <v>39</v>
      </c>
    </row>
    <row r="38" spans="1:21">
      <c r="A38">
        <v>166</v>
      </c>
      <c r="B38" t="s">
        <v>478</v>
      </c>
      <c r="C38" t="s">
        <v>479</v>
      </c>
      <c r="D38">
        <v>6.5</v>
      </c>
      <c r="G38">
        <v>1.5</v>
      </c>
      <c r="H38" t="s">
        <v>21</v>
      </c>
      <c r="I38" t="s">
        <v>215</v>
      </c>
      <c r="J38" t="s">
        <v>107</v>
      </c>
      <c r="K38" t="s">
        <v>108</v>
      </c>
      <c r="L38" t="s">
        <v>25</v>
      </c>
      <c r="M38" t="s">
        <v>29</v>
      </c>
      <c r="N38">
        <v>286</v>
      </c>
      <c r="O38">
        <v>10</v>
      </c>
      <c r="P38" t="s">
        <v>42</v>
      </c>
      <c r="Q38" t="s">
        <v>28</v>
      </c>
      <c r="R38" t="s">
        <v>42</v>
      </c>
      <c r="S38" t="s">
        <v>42</v>
      </c>
      <c r="T38">
        <v>1.54</v>
      </c>
      <c r="U38" t="s">
        <v>39</v>
      </c>
    </row>
    <row r="39" spans="1:21">
      <c r="A39">
        <v>371</v>
      </c>
      <c r="B39" t="s">
        <v>476</v>
      </c>
      <c r="C39" t="s">
        <v>477</v>
      </c>
      <c r="D39">
        <v>5.8</v>
      </c>
      <c r="G39">
        <v>1.1000000000000001</v>
      </c>
      <c r="H39" t="s">
        <v>21</v>
      </c>
      <c r="I39" t="s">
        <v>117</v>
      </c>
      <c r="J39" t="s">
        <v>35</v>
      </c>
      <c r="K39" t="s">
        <v>36</v>
      </c>
      <c r="L39" t="s">
        <v>25</v>
      </c>
      <c r="M39" t="s">
        <v>26</v>
      </c>
      <c r="N39">
        <v>190</v>
      </c>
      <c r="O39">
        <v>9</v>
      </c>
      <c r="P39" t="s">
        <v>28</v>
      </c>
      <c r="Q39" t="s">
        <v>42</v>
      </c>
      <c r="R39" t="s">
        <v>28</v>
      </c>
      <c r="S39" t="s">
        <v>28</v>
      </c>
      <c r="T39">
        <v>1.55</v>
      </c>
      <c r="U39" t="s">
        <v>39</v>
      </c>
    </row>
    <row r="40" spans="1:21">
      <c r="A40">
        <v>564</v>
      </c>
      <c r="B40" t="s">
        <v>474</v>
      </c>
      <c r="C40" t="s">
        <v>475</v>
      </c>
      <c r="D40">
        <v>4.5</v>
      </c>
      <c r="G40">
        <v>0.6</v>
      </c>
      <c r="H40" t="s">
        <v>21</v>
      </c>
      <c r="I40" t="s">
        <v>66</v>
      </c>
      <c r="J40" t="s">
        <v>46</v>
      </c>
      <c r="K40" t="s">
        <v>47</v>
      </c>
      <c r="L40" t="s">
        <v>25</v>
      </c>
      <c r="M40" t="s">
        <v>29</v>
      </c>
      <c r="N40">
        <v>360</v>
      </c>
      <c r="O40">
        <v>7</v>
      </c>
      <c r="P40" t="s">
        <v>28</v>
      </c>
      <c r="Q40" t="s">
        <v>28</v>
      </c>
      <c r="R40" t="s">
        <v>28</v>
      </c>
      <c r="S40" t="s">
        <v>28</v>
      </c>
      <c r="T40">
        <v>1.56</v>
      </c>
      <c r="U40" t="s">
        <v>31</v>
      </c>
    </row>
    <row r="41" spans="1:21">
      <c r="A41">
        <v>67</v>
      </c>
      <c r="B41" t="s">
        <v>470</v>
      </c>
      <c r="C41" t="s">
        <v>471</v>
      </c>
      <c r="D41">
        <v>6.3</v>
      </c>
      <c r="G41">
        <v>1.6</v>
      </c>
      <c r="H41" t="s">
        <v>21</v>
      </c>
      <c r="I41" t="s">
        <v>96</v>
      </c>
      <c r="J41" t="s">
        <v>35</v>
      </c>
      <c r="K41" t="s">
        <v>36</v>
      </c>
      <c r="L41" t="s">
        <v>25</v>
      </c>
      <c r="M41" t="s">
        <v>26</v>
      </c>
      <c r="N41">
        <v>434</v>
      </c>
      <c r="O41">
        <v>10</v>
      </c>
      <c r="P41" t="s">
        <v>28</v>
      </c>
      <c r="Q41" t="s">
        <v>28</v>
      </c>
      <c r="R41" t="s">
        <v>28</v>
      </c>
      <c r="S41" t="s">
        <v>28</v>
      </c>
      <c r="T41">
        <v>1.59</v>
      </c>
      <c r="U41" t="s">
        <v>39</v>
      </c>
    </row>
    <row r="42" spans="1:21">
      <c r="A42">
        <v>536</v>
      </c>
      <c r="B42" t="s">
        <v>472</v>
      </c>
      <c r="C42" t="s">
        <v>473</v>
      </c>
      <c r="D42">
        <v>4.4000000000000004</v>
      </c>
      <c r="G42">
        <v>0.3</v>
      </c>
      <c r="H42" t="s">
        <v>21</v>
      </c>
      <c r="I42" t="s">
        <v>165</v>
      </c>
      <c r="J42" t="s">
        <v>23</v>
      </c>
      <c r="K42" t="s">
        <v>24</v>
      </c>
      <c r="L42" t="s">
        <v>25</v>
      </c>
      <c r="M42" t="s">
        <v>29</v>
      </c>
      <c r="N42">
        <v>360</v>
      </c>
      <c r="O42">
        <v>7</v>
      </c>
      <c r="P42" t="s">
        <v>28</v>
      </c>
      <c r="Q42" t="s">
        <v>28</v>
      </c>
      <c r="R42" t="s">
        <v>42</v>
      </c>
      <c r="S42" t="s">
        <v>28</v>
      </c>
      <c r="T42">
        <v>1.59</v>
      </c>
      <c r="U42" t="s">
        <v>31</v>
      </c>
    </row>
    <row r="43" spans="1:21">
      <c r="A43">
        <v>145</v>
      </c>
      <c r="B43" t="s">
        <v>466</v>
      </c>
      <c r="C43" t="s">
        <v>467</v>
      </c>
      <c r="D43">
        <v>5</v>
      </c>
      <c r="G43">
        <v>0.2</v>
      </c>
      <c r="H43" t="s">
        <v>21</v>
      </c>
      <c r="I43" t="s">
        <v>158</v>
      </c>
      <c r="J43" t="s">
        <v>23</v>
      </c>
      <c r="K43" t="s">
        <v>24</v>
      </c>
      <c r="L43" t="s">
        <v>25</v>
      </c>
      <c r="M43" t="s">
        <v>29</v>
      </c>
      <c r="N43">
        <v>312</v>
      </c>
      <c r="O43">
        <v>8</v>
      </c>
      <c r="P43" t="s">
        <v>28</v>
      </c>
      <c r="Q43" t="s">
        <v>28</v>
      </c>
      <c r="R43" t="s">
        <v>28</v>
      </c>
      <c r="S43" t="s">
        <v>28</v>
      </c>
      <c r="T43">
        <v>1.6</v>
      </c>
      <c r="U43" t="s">
        <v>39</v>
      </c>
    </row>
    <row r="44" spans="1:21">
      <c r="A44">
        <v>71</v>
      </c>
      <c r="B44" t="s">
        <v>468</v>
      </c>
      <c r="C44" t="s">
        <v>469</v>
      </c>
      <c r="D44">
        <v>5</v>
      </c>
      <c r="G44">
        <v>0.2</v>
      </c>
      <c r="H44" t="s">
        <v>21</v>
      </c>
      <c r="I44" t="s">
        <v>96</v>
      </c>
      <c r="J44" t="s">
        <v>35</v>
      </c>
      <c r="K44" t="s">
        <v>36</v>
      </c>
      <c r="L44" t="s">
        <v>25</v>
      </c>
      <c r="M44" t="s">
        <v>26</v>
      </c>
      <c r="N44">
        <v>180</v>
      </c>
      <c r="O44">
        <v>8</v>
      </c>
      <c r="P44" t="s">
        <v>28</v>
      </c>
      <c r="Q44" t="s">
        <v>28</v>
      </c>
      <c r="R44" t="s">
        <v>27</v>
      </c>
      <c r="S44" t="s">
        <v>28</v>
      </c>
      <c r="T44">
        <v>1.6</v>
      </c>
      <c r="U44" t="s">
        <v>39</v>
      </c>
    </row>
    <row r="45" spans="1:21">
      <c r="A45">
        <v>167</v>
      </c>
      <c r="B45" t="s">
        <v>464</v>
      </c>
      <c r="C45" t="s">
        <v>465</v>
      </c>
      <c r="D45">
        <v>5.6</v>
      </c>
      <c r="G45">
        <v>2.7</v>
      </c>
      <c r="H45" t="s">
        <v>21</v>
      </c>
      <c r="I45" t="s">
        <v>170</v>
      </c>
      <c r="J45" t="s">
        <v>107</v>
      </c>
      <c r="K45" t="s">
        <v>108</v>
      </c>
      <c r="L45" t="s">
        <v>25</v>
      </c>
      <c r="M45" t="s">
        <v>29</v>
      </c>
      <c r="N45">
        <v>277</v>
      </c>
      <c r="O45">
        <v>9</v>
      </c>
      <c r="P45" t="s">
        <v>42</v>
      </c>
      <c r="Q45" t="s">
        <v>28</v>
      </c>
      <c r="R45" t="s">
        <v>42</v>
      </c>
      <c r="S45" t="s">
        <v>28</v>
      </c>
      <c r="T45">
        <v>1.61</v>
      </c>
      <c r="U45" t="s">
        <v>39</v>
      </c>
    </row>
    <row r="46" spans="1:21">
      <c r="A46">
        <v>417</v>
      </c>
      <c r="B46" t="s">
        <v>462</v>
      </c>
      <c r="C46" t="s">
        <v>463</v>
      </c>
      <c r="D46">
        <v>4.9000000000000004</v>
      </c>
      <c r="G46">
        <v>1.6</v>
      </c>
      <c r="H46" t="s">
        <v>21</v>
      </c>
      <c r="I46" t="s">
        <v>177</v>
      </c>
      <c r="J46" t="s">
        <v>23</v>
      </c>
      <c r="K46" t="s">
        <v>24</v>
      </c>
      <c r="L46" t="s">
        <v>25</v>
      </c>
      <c r="M46" t="s">
        <v>26</v>
      </c>
      <c r="N46">
        <v>346</v>
      </c>
      <c r="O46">
        <v>8</v>
      </c>
      <c r="P46" t="s">
        <v>28</v>
      </c>
      <c r="Q46" t="s">
        <v>28</v>
      </c>
      <c r="R46" t="s">
        <v>28</v>
      </c>
      <c r="S46" t="s">
        <v>28</v>
      </c>
      <c r="T46">
        <v>1.63</v>
      </c>
      <c r="U46" t="s">
        <v>31</v>
      </c>
    </row>
    <row r="47" spans="1:21">
      <c r="A47">
        <v>462</v>
      </c>
      <c r="B47" t="s">
        <v>460</v>
      </c>
      <c r="C47" t="s">
        <v>461</v>
      </c>
      <c r="D47">
        <v>4.9000000000000004</v>
      </c>
      <c r="G47">
        <v>0.1</v>
      </c>
      <c r="H47" t="s">
        <v>21</v>
      </c>
      <c r="I47" t="s">
        <v>80</v>
      </c>
      <c r="J47" t="s">
        <v>35</v>
      </c>
      <c r="K47" t="s">
        <v>36</v>
      </c>
      <c r="L47" t="s">
        <v>25</v>
      </c>
      <c r="M47" t="s">
        <v>26</v>
      </c>
      <c r="N47">
        <v>223</v>
      </c>
      <c r="O47">
        <v>8</v>
      </c>
      <c r="P47" t="s">
        <v>28</v>
      </c>
      <c r="Q47" t="s">
        <v>28</v>
      </c>
      <c r="R47" t="s">
        <v>42</v>
      </c>
      <c r="S47" t="s">
        <v>28</v>
      </c>
      <c r="T47">
        <v>1.63</v>
      </c>
      <c r="U47" t="s">
        <v>31</v>
      </c>
    </row>
    <row r="48" spans="1:21">
      <c r="A48">
        <v>393</v>
      </c>
      <c r="B48" t="s">
        <v>458</v>
      </c>
      <c r="C48" t="s">
        <v>459</v>
      </c>
      <c r="D48">
        <v>5.4</v>
      </c>
      <c r="G48">
        <v>1.4</v>
      </c>
      <c r="H48" t="s">
        <v>21</v>
      </c>
      <c r="I48" t="s">
        <v>54</v>
      </c>
      <c r="J48" t="s">
        <v>23</v>
      </c>
      <c r="K48" t="s">
        <v>24</v>
      </c>
      <c r="L48" t="s">
        <v>25</v>
      </c>
      <c r="M48" t="s">
        <v>37</v>
      </c>
      <c r="N48">
        <v>268</v>
      </c>
      <c r="O48">
        <v>9</v>
      </c>
      <c r="P48" t="s">
        <v>28</v>
      </c>
      <c r="Q48" t="s">
        <v>28</v>
      </c>
      <c r="R48" t="s">
        <v>42</v>
      </c>
      <c r="S48" t="s">
        <v>28</v>
      </c>
      <c r="T48">
        <v>1.67</v>
      </c>
      <c r="U48" t="s">
        <v>39</v>
      </c>
    </row>
    <row r="49" spans="1:21">
      <c r="A49">
        <v>7</v>
      </c>
      <c r="B49" t="s">
        <v>454</v>
      </c>
      <c r="C49" t="s">
        <v>455</v>
      </c>
      <c r="D49">
        <v>5.4</v>
      </c>
      <c r="G49">
        <v>0.6</v>
      </c>
      <c r="H49" t="s">
        <v>21</v>
      </c>
      <c r="I49" t="s">
        <v>104</v>
      </c>
      <c r="J49" t="s">
        <v>35</v>
      </c>
      <c r="K49" t="s">
        <v>36</v>
      </c>
      <c r="L49" t="s">
        <v>25</v>
      </c>
      <c r="M49" t="s">
        <v>29</v>
      </c>
      <c r="N49">
        <v>271</v>
      </c>
      <c r="O49">
        <v>9</v>
      </c>
      <c r="P49" t="s">
        <v>28</v>
      </c>
      <c r="Q49" t="s">
        <v>28</v>
      </c>
      <c r="R49" t="s">
        <v>27</v>
      </c>
      <c r="S49" t="s">
        <v>28</v>
      </c>
      <c r="T49">
        <v>1.67</v>
      </c>
      <c r="U49" t="s">
        <v>39</v>
      </c>
    </row>
    <row r="50" spans="1:21">
      <c r="A50">
        <v>499</v>
      </c>
      <c r="B50" t="s">
        <v>456</v>
      </c>
      <c r="C50" t="s">
        <v>457</v>
      </c>
      <c r="D50">
        <v>5.4</v>
      </c>
      <c r="G50">
        <v>7.6</v>
      </c>
      <c r="H50" t="s">
        <v>125</v>
      </c>
      <c r="I50" t="s">
        <v>122</v>
      </c>
      <c r="J50" t="s">
        <v>23</v>
      </c>
      <c r="K50" t="s">
        <v>24</v>
      </c>
      <c r="L50" t="s">
        <v>25</v>
      </c>
      <c r="M50" t="s">
        <v>37</v>
      </c>
      <c r="N50">
        <v>198</v>
      </c>
      <c r="O50">
        <v>9</v>
      </c>
      <c r="P50" t="s">
        <v>28</v>
      </c>
      <c r="Q50" t="s">
        <v>28</v>
      </c>
      <c r="R50" t="s">
        <v>42</v>
      </c>
      <c r="S50" t="s">
        <v>42</v>
      </c>
      <c r="T50">
        <v>1.67</v>
      </c>
      <c r="U50" t="s">
        <v>39</v>
      </c>
    </row>
    <row r="51" spans="1:21">
      <c r="A51">
        <v>37</v>
      </c>
      <c r="B51" t="s">
        <v>450</v>
      </c>
      <c r="C51" t="s">
        <v>451</v>
      </c>
      <c r="D51">
        <v>4.5</v>
      </c>
      <c r="G51">
        <v>0.3</v>
      </c>
      <c r="H51" t="s">
        <v>21</v>
      </c>
      <c r="I51" t="s">
        <v>215</v>
      </c>
      <c r="J51" t="s">
        <v>23</v>
      </c>
      <c r="K51" t="s">
        <v>24</v>
      </c>
      <c r="L51" t="s">
        <v>25</v>
      </c>
      <c r="M51" t="s">
        <v>26</v>
      </c>
      <c r="N51">
        <v>450</v>
      </c>
      <c r="O51">
        <v>8</v>
      </c>
      <c r="P51" t="s">
        <v>28</v>
      </c>
      <c r="Q51" t="s">
        <v>28</v>
      </c>
      <c r="R51" t="s">
        <v>42</v>
      </c>
      <c r="S51" t="s">
        <v>28</v>
      </c>
      <c r="T51">
        <v>1.78</v>
      </c>
      <c r="U51" t="s">
        <v>31</v>
      </c>
    </row>
    <row r="52" spans="1:21">
      <c r="A52">
        <v>199</v>
      </c>
      <c r="B52" t="s">
        <v>452</v>
      </c>
      <c r="C52" t="s">
        <v>453</v>
      </c>
      <c r="D52">
        <v>4.5</v>
      </c>
      <c r="G52">
        <v>0.1</v>
      </c>
      <c r="H52" t="s">
        <v>21</v>
      </c>
      <c r="I52" t="s">
        <v>91</v>
      </c>
      <c r="J52" t="s">
        <v>46</v>
      </c>
      <c r="K52" t="s">
        <v>47</v>
      </c>
      <c r="L52" t="s">
        <v>25</v>
      </c>
      <c r="M52" t="s">
        <v>27</v>
      </c>
      <c r="N52">
        <v>180</v>
      </c>
      <c r="O52">
        <v>8</v>
      </c>
      <c r="P52" t="s">
        <v>28</v>
      </c>
      <c r="Q52" t="s">
        <v>28</v>
      </c>
      <c r="R52" t="s">
        <v>42</v>
      </c>
      <c r="S52" t="s">
        <v>28</v>
      </c>
      <c r="T52">
        <v>1.78</v>
      </c>
      <c r="U52" t="s">
        <v>31</v>
      </c>
    </row>
    <row r="53" spans="1:21">
      <c r="A53">
        <v>148</v>
      </c>
      <c r="B53" t="s">
        <v>448</v>
      </c>
      <c r="C53" t="s">
        <v>449</v>
      </c>
      <c r="D53">
        <v>4.5</v>
      </c>
      <c r="G53">
        <v>0.8</v>
      </c>
      <c r="H53" t="s">
        <v>21</v>
      </c>
      <c r="I53" t="s">
        <v>158</v>
      </c>
      <c r="J53" t="s">
        <v>23</v>
      </c>
      <c r="K53" t="s">
        <v>24</v>
      </c>
      <c r="L53" t="s">
        <v>25</v>
      </c>
      <c r="M53" t="s">
        <v>29</v>
      </c>
      <c r="N53">
        <v>258</v>
      </c>
      <c r="O53">
        <v>8</v>
      </c>
      <c r="P53" t="s">
        <v>28</v>
      </c>
      <c r="Q53" t="s">
        <v>27</v>
      </c>
      <c r="R53" t="s">
        <v>28</v>
      </c>
      <c r="S53" t="s">
        <v>28</v>
      </c>
      <c r="T53">
        <v>1.78</v>
      </c>
      <c r="U53" t="s">
        <v>31</v>
      </c>
    </row>
    <row r="54" spans="1:21">
      <c r="A54">
        <v>194</v>
      </c>
      <c r="B54" t="s">
        <v>442</v>
      </c>
      <c r="C54" t="s">
        <v>443</v>
      </c>
      <c r="D54">
        <v>5</v>
      </c>
      <c r="G54">
        <v>0.8</v>
      </c>
      <c r="H54" t="s">
        <v>21</v>
      </c>
      <c r="I54" t="s">
        <v>75</v>
      </c>
      <c r="J54" t="s">
        <v>107</v>
      </c>
      <c r="K54" t="s">
        <v>108</v>
      </c>
      <c r="L54" t="s">
        <v>25</v>
      </c>
      <c r="M54" t="s">
        <v>26</v>
      </c>
      <c r="N54">
        <v>227</v>
      </c>
      <c r="O54">
        <v>9</v>
      </c>
      <c r="P54" t="s">
        <v>28</v>
      </c>
      <c r="Q54" t="s">
        <v>28</v>
      </c>
      <c r="R54" t="s">
        <v>42</v>
      </c>
      <c r="S54" t="s">
        <v>28</v>
      </c>
      <c r="T54">
        <v>1.8</v>
      </c>
      <c r="U54" t="s">
        <v>39</v>
      </c>
    </row>
    <row r="55" spans="1:21">
      <c r="A55">
        <v>28</v>
      </c>
      <c r="B55" t="s">
        <v>446</v>
      </c>
      <c r="C55" t="s">
        <v>447</v>
      </c>
      <c r="D55">
        <v>5</v>
      </c>
      <c r="G55">
        <v>4.8</v>
      </c>
      <c r="H55" t="s">
        <v>21</v>
      </c>
      <c r="I55" t="s">
        <v>158</v>
      </c>
      <c r="J55" t="s">
        <v>46</v>
      </c>
      <c r="K55" t="s">
        <v>47</v>
      </c>
      <c r="L55" t="s">
        <v>25</v>
      </c>
      <c r="M55" t="s">
        <v>29</v>
      </c>
      <c r="N55">
        <v>360</v>
      </c>
      <c r="O55">
        <v>9</v>
      </c>
      <c r="P55" t="s">
        <v>28</v>
      </c>
      <c r="Q55" t="s">
        <v>28</v>
      </c>
      <c r="R55" t="s">
        <v>28</v>
      </c>
      <c r="S55" t="s">
        <v>28</v>
      </c>
      <c r="T55">
        <v>1.8</v>
      </c>
      <c r="U55" t="s">
        <v>39</v>
      </c>
    </row>
    <row r="56" spans="1:21">
      <c r="A56">
        <v>644</v>
      </c>
      <c r="B56" t="s">
        <v>444</v>
      </c>
      <c r="C56" t="s">
        <v>445</v>
      </c>
      <c r="D56">
        <v>5</v>
      </c>
      <c r="G56">
        <v>0</v>
      </c>
      <c r="H56" t="s">
        <v>21</v>
      </c>
      <c r="I56" t="s">
        <v>91</v>
      </c>
      <c r="J56" t="s">
        <v>35</v>
      </c>
      <c r="K56" t="s">
        <v>36</v>
      </c>
      <c r="L56" t="s">
        <v>309</v>
      </c>
      <c r="M56" t="s">
        <v>37</v>
      </c>
      <c r="N56">
        <v>253</v>
      </c>
      <c r="O56">
        <v>9</v>
      </c>
      <c r="P56" t="s">
        <v>28</v>
      </c>
      <c r="Q56" t="s">
        <v>28</v>
      </c>
      <c r="R56" t="s">
        <v>42</v>
      </c>
      <c r="S56" t="s">
        <v>28</v>
      </c>
      <c r="T56">
        <v>1.8</v>
      </c>
      <c r="U56" t="s">
        <v>39</v>
      </c>
    </row>
    <row r="57" spans="1:21">
      <c r="A57">
        <v>473</v>
      </c>
      <c r="B57" t="s">
        <v>440</v>
      </c>
      <c r="C57" t="s">
        <v>441</v>
      </c>
      <c r="D57">
        <v>4.4000000000000004</v>
      </c>
      <c r="G57">
        <v>2.4</v>
      </c>
      <c r="H57" t="s">
        <v>21</v>
      </c>
      <c r="I57" t="s">
        <v>170</v>
      </c>
      <c r="J57" t="s">
        <v>23</v>
      </c>
      <c r="K57" t="s">
        <v>24</v>
      </c>
      <c r="L57" t="s">
        <v>25</v>
      </c>
      <c r="M57" t="s">
        <v>29</v>
      </c>
      <c r="N57">
        <v>306</v>
      </c>
      <c r="O57">
        <v>8</v>
      </c>
      <c r="P57" t="s">
        <v>28</v>
      </c>
      <c r="Q57" t="s">
        <v>28</v>
      </c>
      <c r="R57" t="s">
        <v>42</v>
      </c>
      <c r="S57" t="s">
        <v>28</v>
      </c>
      <c r="T57">
        <v>1.82</v>
      </c>
      <c r="U57" t="s">
        <v>31</v>
      </c>
    </row>
    <row r="58" spans="1:21">
      <c r="A58">
        <v>239</v>
      </c>
      <c r="B58" t="s">
        <v>438</v>
      </c>
      <c r="C58" t="s">
        <v>439</v>
      </c>
      <c r="D58">
        <v>6</v>
      </c>
      <c r="G58">
        <v>0.2</v>
      </c>
      <c r="H58" t="s">
        <v>21</v>
      </c>
      <c r="I58" t="s">
        <v>50</v>
      </c>
      <c r="J58" t="s">
        <v>35</v>
      </c>
      <c r="K58" t="s">
        <v>36</v>
      </c>
      <c r="L58" t="s">
        <v>25</v>
      </c>
      <c r="M58" t="s">
        <v>26</v>
      </c>
      <c r="N58">
        <v>328</v>
      </c>
      <c r="O58">
        <v>11</v>
      </c>
      <c r="P58" t="s">
        <v>28</v>
      </c>
      <c r="Q58" t="s">
        <v>28</v>
      </c>
      <c r="R58" t="s">
        <v>27</v>
      </c>
      <c r="S58" t="s">
        <v>28</v>
      </c>
      <c r="T58">
        <v>1.83</v>
      </c>
      <c r="U58" t="s">
        <v>39</v>
      </c>
    </row>
    <row r="59" spans="1:21">
      <c r="A59">
        <v>522</v>
      </c>
      <c r="B59" t="s">
        <v>434</v>
      </c>
      <c r="C59" t="s">
        <v>435</v>
      </c>
      <c r="D59">
        <v>4.9000000000000004</v>
      </c>
      <c r="G59">
        <v>0.2</v>
      </c>
      <c r="H59" t="s">
        <v>21</v>
      </c>
      <c r="I59" t="s">
        <v>122</v>
      </c>
      <c r="J59" t="s">
        <v>35</v>
      </c>
      <c r="K59" t="s">
        <v>36</v>
      </c>
      <c r="L59" t="s">
        <v>25</v>
      </c>
      <c r="M59" t="s">
        <v>29</v>
      </c>
      <c r="N59">
        <v>307</v>
      </c>
      <c r="O59">
        <v>9</v>
      </c>
      <c r="P59" t="s">
        <v>28</v>
      </c>
      <c r="Q59" t="s">
        <v>28</v>
      </c>
      <c r="R59" t="s">
        <v>42</v>
      </c>
      <c r="S59" t="s">
        <v>28</v>
      </c>
      <c r="T59">
        <v>1.84</v>
      </c>
      <c r="U59" t="s">
        <v>31</v>
      </c>
    </row>
    <row r="60" spans="1:21">
      <c r="A60">
        <v>104</v>
      </c>
      <c r="B60" t="s">
        <v>436</v>
      </c>
      <c r="C60" t="s">
        <v>437</v>
      </c>
      <c r="D60">
        <v>4.9000000000000004</v>
      </c>
      <c r="G60">
        <v>0.1</v>
      </c>
      <c r="H60" t="s">
        <v>21</v>
      </c>
      <c r="I60" t="s">
        <v>75</v>
      </c>
      <c r="J60" t="s">
        <v>35</v>
      </c>
      <c r="K60" t="s">
        <v>36</v>
      </c>
      <c r="L60" t="s">
        <v>25</v>
      </c>
      <c r="M60" t="s">
        <v>29</v>
      </c>
      <c r="N60">
        <v>314</v>
      </c>
      <c r="O60">
        <v>9</v>
      </c>
      <c r="P60" t="s">
        <v>28</v>
      </c>
      <c r="Q60" t="s">
        <v>28</v>
      </c>
      <c r="R60" t="s">
        <v>42</v>
      </c>
      <c r="S60" t="s">
        <v>28</v>
      </c>
      <c r="T60">
        <v>1.84</v>
      </c>
      <c r="U60" t="s">
        <v>31</v>
      </c>
    </row>
    <row r="61" spans="1:21">
      <c r="A61">
        <v>84</v>
      </c>
      <c r="B61" t="s">
        <v>432</v>
      </c>
      <c r="C61" t="s">
        <v>433</v>
      </c>
      <c r="D61">
        <v>5.4</v>
      </c>
      <c r="G61">
        <v>1</v>
      </c>
      <c r="H61" t="s">
        <v>274</v>
      </c>
      <c r="I61" t="s">
        <v>63</v>
      </c>
      <c r="J61" t="s">
        <v>23</v>
      </c>
      <c r="K61" t="s">
        <v>24</v>
      </c>
      <c r="L61" t="s">
        <v>25</v>
      </c>
      <c r="M61" t="s">
        <v>37</v>
      </c>
      <c r="N61">
        <v>196</v>
      </c>
      <c r="O61">
        <v>10</v>
      </c>
      <c r="P61" t="s">
        <v>28</v>
      </c>
      <c r="Q61" t="s">
        <v>28</v>
      </c>
      <c r="R61" t="s">
        <v>42</v>
      </c>
      <c r="S61" t="s">
        <v>28</v>
      </c>
      <c r="T61">
        <v>1.85</v>
      </c>
      <c r="U61" t="s">
        <v>39</v>
      </c>
    </row>
    <row r="62" spans="1:21">
      <c r="A62">
        <v>61</v>
      </c>
      <c r="B62" t="s">
        <v>430</v>
      </c>
      <c r="C62" t="s">
        <v>431</v>
      </c>
      <c r="D62">
        <v>5.4</v>
      </c>
      <c r="G62">
        <v>3</v>
      </c>
      <c r="H62" t="s">
        <v>21</v>
      </c>
      <c r="I62" t="s">
        <v>96</v>
      </c>
      <c r="J62" t="s">
        <v>23</v>
      </c>
      <c r="K62" t="s">
        <v>24</v>
      </c>
      <c r="L62" t="s">
        <v>25</v>
      </c>
      <c r="M62" t="s">
        <v>26</v>
      </c>
      <c r="N62">
        <v>450</v>
      </c>
      <c r="O62">
        <v>10</v>
      </c>
      <c r="P62" t="s">
        <v>28</v>
      </c>
      <c r="Q62" t="s">
        <v>28</v>
      </c>
      <c r="R62" t="s">
        <v>28</v>
      </c>
      <c r="S62" t="s">
        <v>27</v>
      </c>
      <c r="T62">
        <v>1.85</v>
      </c>
      <c r="U62" t="s">
        <v>39</v>
      </c>
    </row>
    <row r="63" spans="1:21">
      <c r="A63">
        <v>389</v>
      </c>
      <c r="B63" t="s">
        <v>428</v>
      </c>
      <c r="C63" t="s">
        <v>429</v>
      </c>
      <c r="D63">
        <v>5.9</v>
      </c>
      <c r="G63">
        <v>1</v>
      </c>
      <c r="H63" t="s">
        <v>21</v>
      </c>
      <c r="I63" t="s">
        <v>54</v>
      </c>
      <c r="J63" t="s">
        <v>23</v>
      </c>
      <c r="K63" t="s">
        <v>24</v>
      </c>
      <c r="L63" t="s">
        <v>25</v>
      </c>
      <c r="M63" t="s">
        <v>37</v>
      </c>
      <c r="N63">
        <v>213</v>
      </c>
      <c r="O63">
        <v>11</v>
      </c>
      <c r="P63" t="s">
        <v>28</v>
      </c>
      <c r="Q63" t="s">
        <v>28</v>
      </c>
      <c r="R63" t="s">
        <v>42</v>
      </c>
      <c r="S63" t="s">
        <v>42</v>
      </c>
      <c r="T63">
        <v>1.86</v>
      </c>
      <c r="U63" t="s">
        <v>39</v>
      </c>
    </row>
    <row r="64" spans="1:21">
      <c r="A64">
        <v>155</v>
      </c>
      <c r="B64" t="s">
        <v>422</v>
      </c>
      <c r="C64" t="s">
        <v>423</v>
      </c>
      <c r="D64">
        <v>6.9</v>
      </c>
      <c r="G64">
        <v>3.6</v>
      </c>
      <c r="H64" t="s">
        <v>21</v>
      </c>
      <c r="I64" t="s">
        <v>54</v>
      </c>
      <c r="J64" t="s">
        <v>35</v>
      </c>
      <c r="K64" t="s">
        <v>36</v>
      </c>
      <c r="L64" t="s">
        <v>25</v>
      </c>
      <c r="M64" t="s">
        <v>29</v>
      </c>
      <c r="N64">
        <v>271</v>
      </c>
      <c r="O64">
        <v>13</v>
      </c>
      <c r="P64" t="s">
        <v>42</v>
      </c>
      <c r="Q64" t="s">
        <v>28</v>
      </c>
      <c r="R64" t="s">
        <v>27</v>
      </c>
      <c r="S64" t="s">
        <v>28</v>
      </c>
      <c r="T64">
        <v>1.88</v>
      </c>
      <c r="U64" t="s">
        <v>39</v>
      </c>
    </row>
    <row r="65" spans="1:21">
      <c r="A65">
        <v>575</v>
      </c>
      <c r="B65" t="s">
        <v>426</v>
      </c>
      <c r="C65" t="s">
        <v>427</v>
      </c>
      <c r="D65">
        <v>4.8</v>
      </c>
      <c r="G65">
        <v>0.1</v>
      </c>
      <c r="H65" t="s">
        <v>21</v>
      </c>
      <c r="I65" t="s">
        <v>75</v>
      </c>
      <c r="J65" t="s">
        <v>35</v>
      </c>
      <c r="K65" t="s">
        <v>36</v>
      </c>
      <c r="L65" t="s">
        <v>25</v>
      </c>
      <c r="M65" t="s">
        <v>26</v>
      </c>
      <c r="N65">
        <v>265</v>
      </c>
      <c r="O65">
        <v>9</v>
      </c>
      <c r="P65" t="s">
        <v>28</v>
      </c>
      <c r="Q65" t="s">
        <v>28</v>
      </c>
      <c r="R65" t="s">
        <v>27</v>
      </c>
      <c r="S65" t="s">
        <v>28</v>
      </c>
      <c r="T65">
        <v>1.88</v>
      </c>
      <c r="U65" t="s">
        <v>31</v>
      </c>
    </row>
    <row r="66" spans="1:21">
      <c r="A66">
        <v>102</v>
      </c>
      <c r="B66" t="s">
        <v>424</v>
      </c>
      <c r="C66" t="s">
        <v>425</v>
      </c>
      <c r="D66">
        <v>4.8</v>
      </c>
      <c r="G66">
        <v>0.6</v>
      </c>
      <c r="H66" t="s">
        <v>21</v>
      </c>
      <c r="I66" t="s">
        <v>63</v>
      </c>
      <c r="J66" t="s">
        <v>35</v>
      </c>
      <c r="K66" t="s">
        <v>36</v>
      </c>
      <c r="L66" t="s">
        <v>25</v>
      </c>
      <c r="M66" t="s">
        <v>26</v>
      </c>
      <c r="N66">
        <v>216</v>
      </c>
      <c r="O66">
        <v>9</v>
      </c>
      <c r="P66" t="s">
        <v>28</v>
      </c>
      <c r="Q66" t="s">
        <v>42</v>
      </c>
      <c r="R66" t="s">
        <v>42</v>
      </c>
      <c r="S66" t="s">
        <v>28</v>
      </c>
      <c r="T66">
        <v>1.88</v>
      </c>
      <c r="U66" t="s">
        <v>31</v>
      </c>
    </row>
    <row r="67" spans="1:21">
      <c r="A67">
        <v>46</v>
      </c>
      <c r="B67" t="s">
        <v>419</v>
      </c>
      <c r="C67" t="s">
        <v>420</v>
      </c>
      <c r="D67">
        <v>5</v>
      </c>
      <c r="G67">
        <v>0.3</v>
      </c>
      <c r="H67" t="s">
        <v>21</v>
      </c>
      <c r="I67" t="s">
        <v>215</v>
      </c>
      <c r="J67" t="s">
        <v>35</v>
      </c>
      <c r="K67" t="s">
        <v>36</v>
      </c>
      <c r="L67" t="s">
        <v>25</v>
      </c>
      <c r="M67" t="s">
        <v>26</v>
      </c>
      <c r="N67">
        <v>308</v>
      </c>
      <c r="O67">
        <v>10</v>
      </c>
      <c r="P67" t="s">
        <v>28</v>
      </c>
      <c r="Q67" t="s">
        <v>28</v>
      </c>
      <c r="R67" t="s">
        <v>42</v>
      </c>
      <c r="S67" t="s">
        <v>28</v>
      </c>
      <c r="T67">
        <v>2</v>
      </c>
      <c r="U67" t="s">
        <v>39</v>
      </c>
    </row>
    <row r="68" spans="1:21">
      <c r="A68">
        <v>57</v>
      </c>
      <c r="B68" t="s">
        <v>417</v>
      </c>
      <c r="C68" t="s">
        <v>418</v>
      </c>
      <c r="D68">
        <v>4.5</v>
      </c>
      <c r="G68">
        <v>3</v>
      </c>
      <c r="H68" t="s">
        <v>21</v>
      </c>
      <c r="I68" t="s">
        <v>96</v>
      </c>
      <c r="J68" t="s">
        <v>46</v>
      </c>
      <c r="K68" t="s">
        <v>47</v>
      </c>
      <c r="L68" t="s">
        <v>25</v>
      </c>
      <c r="M68" t="s">
        <v>26</v>
      </c>
      <c r="N68">
        <v>450</v>
      </c>
      <c r="O68">
        <v>9</v>
      </c>
      <c r="P68" t="s">
        <v>28</v>
      </c>
      <c r="Q68" t="s">
        <v>28</v>
      </c>
      <c r="R68" t="s">
        <v>28</v>
      </c>
      <c r="S68" t="s">
        <v>28</v>
      </c>
      <c r="T68">
        <v>2</v>
      </c>
      <c r="U68" t="s">
        <v>31</v>
      </c>
    </row>
    <row r="69" spans="1:21">
      <c r="A69">
        <v>51</v>
      </c>
      <c r="B69" t="s">
        <v>421</v>
      </c>
      <c r="C69" t="s">
        <v>421</v>
      </c>
      <c r="D69">
        <v>4.5</v>
      </c>
      <c r="G69">
        <v>1.2</v>
      </c>
      <c r="H69" t="s">
        <v>21</v>
      </c>
      <c r="I69" t="s">
        <v>215</v>
      </c>
      <c r="J69" t="s">
        <v>35</v>
      </c>
      <c r="K69" t="s">
        <v>36</v>
      </c>
      <c r="L69" t="s">
        <v>25</v>
      </c>
      <c r="M69" t="s">
        <v>26</v>
      </c>
      <c r="N69">
        <v>297</v>
      </c>
      <c r="O69">
        <v>9</v>
      </c>
      <c r="P69" t="s">
        <v>28</v>
      </c>
      <c r="Q69" t="s">
        <v>28</v>
      </c>
      <c r="R69" t="s">
        <v>42</v>
      </c>
      <c r="S69" t="s">
        <v>28</v>
      </c>
      <c r="T69">
        <v>2</v>
      </c>
      <c r="U69" t="s">
        <v>31</v>
      </c>
    </row>
    <row r="70" spans="1:21">
      <c r="A70">
        <v>372</v>
      </c>
      <c r="B70" t="s">
        <v>413</v>
      </c>
      <c r="C70" t="s">
        <v>414</v>
      </c>
      <c r="D70">
        <v>5.4</v>
      </c>
      <c r="G70">
        <v>1.3</v>
      </c>
      <c r="H70" t="s">
        <v>21</v>
      </c>
      <c r="I70" t="s">
        <v>117</v>
      </c>
      <c r="J70" t="s">
        <v>35</v>
      </c>
      <c r="K70" t="s">
        <v>36</v>
      </c>
      <c r="L70" t="s">
        <v>25</v>
      </c>
      <c r="M70" t="s">
        <v>26</v>
      </c>
      <c r="N70">
        <v>306</v>
      </c>
      <c r="O70">
        <v>11</v>
      </c>
      <c r="P70" t="s">
        <v>28</v>
      </c>
      <c r="Q70" t="s">
        <v>28</v>
      </c>
      <c r="R70" t="s">
        <v>27</v>
      </c>
      <c r="S70" t="s">
        <v>28</v>
      </c>
      <c r="T70">
        <v>2.04</v>
      </c>
      <c r="U70" t="s">
        <v>39</v>
      </c>
    </row>
    <row r="71" spans="1:21">
      <c r="A71">
        <v>545</v>
      </c>
      <c r="B71" t="s">
        <v>415</v>
      </c>
      <c r="C71" t="s">
        <v>416</v>
      </c>
      <c r="D71">
        <v>4.9000000000000004</v>
      </c>
      <c r="G71">
        <v>0.2</v>
      </c>
      <c r="H71" t="s">
        <v>21</v>
      </c>
      <c r="I71" t="s">
        <v>165</v>
      </c>
      <c r="J71" t="s">
        <v>35</v>
      </c>
      <c r="K71" t="s">
        <v>36</v>
      </c>
      <c r="L71" t="s">
        <v>25</v>
      </c>
      <c r="M71" t="s">
        <v>26</v>
      </c>
      <c r="N71">
        <v>410</v>
      </c>
      <c r="O71">
        <v>10</v>
      </c>
      <c r="P71" t="s">
        <v>28</v>
      </c>
      <c r="Q71" t="s">
        <v>28</v>
      </c>
      <c r="R71" t="s">
        <v>42</v>
      </c>
      <c r="S71" t="s">
        <v>28</v>
      </c>
      <c r="T71">
        <v>2.04</v>
      </c>
      <c r="U71" t="s">
        <v>31</v>
      </c>
    </row>
    <row r="72" spans="1:21">
      <c r="A72">
        <v>36</v>
      </c>
      <c r="B72" t="s">
        <v>411</v>
      </c>
      <c r="C72" t="s">
        <v>412</v>
      </c>
      <c r="D72">
        <v>4.4000000000000004</v>
      </c>
      <c r="G72">
        <v>0.5</v>
      </c>
      <c r="H72" t="s">
        <v>274</v>
      </c>
      <c r="I72" t="s">
        <v>215</v>
      </c>
      <c r="J72" t="s">
        <v>23</v>
      </c>
      <c r="K72" t="s">
        <v>24</v>
      </c>
      <c r="L72" t="s">
        <v>25</v>
      </c>
      <c r="M72" t="s">
        <v>29</v>
      </c>
      <c r="N72">
        <v>335</v>
      </c>
      <c r="O72">
        <v>9</v>
      </c>
      <c r="P72" t="s">
        <v>28</v>
      </c>
      <c r="Q72" t="s">
        <v>28</v>
      </c>
      <c r="R72" t="s">
        <v>42</v>
      </c>
      <c r="S72" t="s">
        <v>42</v>
      </c>
      <c r="T72">
        <v>2.0499999999999998</v>
      </c>
      <c r="U72" t="s">
        <v>31</v>
      </c>
    </row>
    <row r="73" spans="1:21">
      <c r="A73">
        <v>491</v>
      </c>
      <c r="B73" t="s">
        <v>409</v>
      </c>
      <c r="C73" t="s">
        <v>410</v>
      </c>
      <c r="D73">
        <v>5.8</v>
      </c>
      <c r="G73">
        <v>2.6</v>
      </c>
      <c r="H73" t="s">
        <v>21</v>
      </c>
      <c r="I73" t="s">
        <v>170</v>
      </c>
      <c r="J73" t="s">
        <v>107</v>
      </c>
      <c r="K73" t="s">
        <v>108</v>
      </c>
      <c r="L73" t="s">
        <v>25</v>
      </c>
      <c r="M73" t="s">
        <v>26</v>
      </c>
      <c r="N73">
        <v>257</v>
      </c>
      <c r="O73">
        <v>12</v>
      </c>
      <c r="P73" t="s">
        <v>42</v>
      </c>
      <c r="Q73" t="s">
        <v>28</v>
      </c>
      <c r="R73" t="s">
        <v>28</v>
      </c>
      <c r="S73" t="s">
        <v>27</v>
      </c>
      <c r="T73">
        <v>2.0699999999999998</v>
      </c>
      <c r="U73" t="s">
        <v>39</v>
      </c>
    </row>
    <row r="74" spans="1:21">
      <c r="A74">
        <v>203</v>
      </c>
      <c r="B74" t="s">
        <v>407</v>
      </c>
      <c r="C74" t="s">
        <v>408</v>
      </c>
      <c r="D74">
        <v>4.8</v>
      </c>
      <c r="G74">
        <v>0.2</v>
      </c>
      <c r="H74" t="s">
        <v>21</v>
      </c>
      <c r="I74" t="s">
        <v>91</v>
      </c>
      <c r="J74" t="s">
        <v>23</v>
      </c>
      <c r="K74" t="s">
        <v>24</v>
      </c>
      <c r="L74" t="s">
        <v>25</v>
      </c>
      <c r="M74" t="s">
        <v>29</v>
      </c>
      <c r="N74">
        <v>360</v>
      </c>
      <c r="O74">
        <v>10</v>
      </c>
      <c r="P74" t="s">
        <v>28</v>
      </c>
      <c r="Q74" t="s">
        <v>28</v>
      </c>
      <c r="R74" t="s">
        <v>42</v>
      </c>
      <c r="S74" t="s">
        <v>28</v>
      </c>
      <c r="T74">
        <v>2.08</v>
      </c>
      <c r="U74" t="s">
        <v>31</v>
      </c>
    </row>
    <row r="75" spans="1:21">
      <c r="A75">
        <v>418</v>
      </c>
      <c r="B75" t="s">
        <v>405</v>
      </c>
      <c r="C75" t="s">
        <v>406</v>
      </c>
      <c r="D75">
        <v>4.8</v>
      </c>
      <c r="G75">
        <v>8.6999999999999993</v>
      </c>
      <c r="H75" t="s">
        <v>21</v>
      </c>
      <c r="I75" t="s">
        <v>177</v>
      </c>
      <c r="J75" t="s">
        <v>23</v>
      </c>
      <c r="K75" t="s">
        <v>24</v>
      </c>
      <c r="L75" t="s">
        <v>25</v>
      </c>
      <c r="M75" t="s">
        <v>26</v>
      </c>
      <c r="N75">
        <v>450</v>
      </c>
      <c r="O75">
        <v>10</v>
      </c>
      <c r="P75" t="s">
        <v>28</v>
      </c>
      <c r="Q75" t="s">
        <v>42</v>
      </c>
      <c r="R75" t="s">
        <v>28</v>
      </c>
      <c r="S75" t="s">
        <v>28</v>
      </c>
      <c r="T75">
        <v>2.08</v>
      </c>
      <c r="U75" t="s">
        <v>31</v>
      </c>
    </row>
    <row r="76" spans="1:21">
      <c r="A76">
        <v>423</v>
      </c>
      <c r="B76" t="s">
        <v>403</v>
      </c>
      <c r="C76" t="s">
        <v>404</v>
      </c>
      <c r="D76">
        <v>4.3</v>
      </c>
      <c r="G76">
        <v>7.7</v>
      </c>
      <c r="H76" t="s">
        <v>21</v>
      </c>
      <c r="I76" t="s">
        <v>177</v>
      </c>
      <c r="J76" t="s">
        <v>23</v>
      </c>
      <c r="K76" t="s">
        <v>24</v>
      </c>
      <c r="L76" t="s">
        <v>25</v>
      </c>
      <c r="M76" t="s">
        <v>29</v>
      </c>
      <c r="N76">
        <v>335</v>
      </c>
      <c r="O76">
        <v>9</v>
      </c>
      <c r="P76" t="s">
        <v>28</v>
      </c>
      <c r="Q76" t="s">
        <v>42</v>
      </c>
      <c r="R76" t="s">
        <v>28</v>
      </c>
      <c r="S76" t="s">
        <v>28</v>
      </c>
      <c r="T76">
        <v>2.09</v>
      </c>
      <c r="U76" t="s">
        <v>31</v>
      </c>
    </row>
    <row r="77" spans="1:21">
      <c r="A77">
        <v>156</v>
      </c>
      <c r="B77" t="s">
        <v>401</v>
      </c>
      <c r="C77" t="s">
        <v>402</v>
      </c>
      <c r="D77">
        <v>6.5</v>
      </c>
      <c r="G77">
        <v>1.4</v>
      </c>
      <c r="H77" t="s">
        <v>21</v>
      </c>
      <c r="I77" t="s">
        <v>158</v>
      </c>
      <c r="J77" t="s">
        <v>35</v>
      </c>
      <c r="K77" t="s">
        <v>36</v>
      </c>
      <c r="L77" t="s">
        <v>25</v>
      </c>
      <c r="M77" t="s">
        <v>26</v>
      </c>
      <c r="N77">
        <v>332</v>
      </c>
      <c r="O77">
        <v>14</v>
      </c>
      <c r="P77" t="s">
        <v>42</v>
      </c>
      <c r="Q77" t="s">
        <v>28</v>
      </c>
      <c r="R77" t="s">
        <v>28</v>
      </c>
      <c r="S77" t="s">
        <v>28</v>
      </c>
      <c r="T77">
        <v>2.15</v>
      </c>
      <c r="U77" t="s">
        <v>39</v>
      </c>
    </row>
    <row r="78" spans="1:21">
      <c r="A78">
        <v>459</v>
      </c>
      <c r="B78" t="s">
        <v>395</v>
      </c>
      <c r="C78" t="s">
        <v>396</v>
      </c>
      <c r="D78">
        <v>5.5</v>
      </c>
      <c r="G78">
        <v>0.1</v>
      </c>
      <c r="H78" t="s">
        <v>21</v>
      </c>
      <c r="I78" t="s">
        <v>80</v>
      </c>
      <c r="J78" t="s">
        <v>35</v>
      </c>
      <c r="K78" t="s">
        <v>36</v>
      </c>
      <c r="L78" t="s">
        <v>25</v>
      </c>
      <c r="M78" t="s">
        <v>26</v>
      </c>
      <c r="N78">
        <v>396</v>
      </c>
      <c r="O78">
        <v>12</v>
      </c>
      <c r="P78" t="s">
        <v>28</v>
      </c>
      <c r="Q78" t="s">
        <v>28</v>
      </c>
      <c r="R78" t="s">
        <v>42</v>
      </c>
      <c r="S78" t="s">
        <v>28</v>
      </c>
      <c r="T78">
        <v>2.1800000000000002</v>
      </c>
      <c r="U78" t="s">
        <v>39</v>
      </c>
    </row>
    <row r="79" spans="1:21">
      <c r="A79">
        <v>486</v>
      </c>
      <c r="B79" t="s">
        <v>397</v>
      </c>
      <c r="C79" t="s">
        <v>398</v>
      </c>
      <c r="D79">
        <v>5.5</v>
      </c>
      <c r="G79">
        <v>0.1</v>
      </c>
      <c r="H79" t="s">
        <v>21</v>
      </c>
      <c r="I79" t="s">
        <v>170</v>
      </c>
      <c r="J79" t="s">
        <v>35</v>
      </c>
      <c r="K79" t="s">
        <v>36</v>
      </c>
      <c r="L79" t="s">
        <v>25</v>
      </c>
      <c r="M79" t="s">
        <v>26</v>
      </c>
      <c r="N79">
        <v>416</v>
      </c>
      <c r="O79">
        <v>12</v>
      </c>
      <c r="P79" t="s">
        <v>28</v>
      </c>
      <c r="Q79" t="s">
        <v>28</v>
      </c>
      <c r="R79" t="s">
        <v>27</v>
      </c>
      <c r="S79" t="s">
        <v>28</v>
      </c>
      <c r="T79">
        <v>2.1800000000000002</v>
      </c>
      <c r="U79" t="s">
        <v>39</v>
      </c>
    </row>
    <row r="80" spans="1:21">
      <c r="A80">
        <v>60</v>
      </c>
      <c r="B80" t="s">
        <v>399</v>
      </c>
      <c r="C80" t="s">
        <v>400</v>
      </c>
      <c r="D80">
        <v>5.5</v>
      </c>
      <c r="G80">
        <v>0.8</v>
      </c>
      <c r="H80" t="s">
        <v>21</v>
      </c>
      <c r="I80" t="s">
        <v>96</v>
      </c>
      <c r="J80" t="s">
        <v>23</v>
      </c>
      <c r="K80" t="s">
        <v>24</v>
      </c>
      <c r="L80" t="s">
        <v>25</v>
      </c>
      <c r="M80" t="s">
        <v>26</v>
      </c>
      <c r="N80">
        <v>450</v>
      </c>
      <c r="O80">
        <v>12</v>
      </c>
      <c r="P80" t="s">
        <v>28</v>
      </c>
      <c r="Q80" t="s">
        <v>28</v>
      </c>
      <c r="R80" t="s">
        <v>28</v>
      </c>
      <c r="S80" t="s">
        <v>28</v>
      </c>
      <c r="T80">
        <v>2.1800000000000002</v>
      </c>
      <c r="U80" t="s">
        <v>39</v>
      </c>
    </row>
    <row r="81" spans="1:21">
      <c r="A81">
        <v>200</v>
      </c>
      <c r="B81" t="s">
        <v>389</v>
      </c>
      <c r="C81" t="s">
        <v>390</v>
      </c>
      <c r="D81">
        <v>5.9</v>
      </c>
      <c r="G81">
        <v>6.8</v>
      </c>
      <c r="H81" t="s">
        <v>21</v>
      </c>
      <c r="I81" t="s">
        <v>158</v>
      </c>
      <c r="J81" t="s">
        <v>23</v>
      </c>
      <c r="K81" t="s">
        <v>24</v>
      </c>
      <c r="L81" t="s">
        <v>25</v>
      </c>
      <c r="M81" t="s">
        <v>26</v>
      </c>
      <c r="N81">
        <v>364</v>
      </c>
      <c r="O81">
        <v>13</v>
      </c>
      <c r="P81" t="s">
        <v>28</v>
      </c>
      <c r="Q81" t="s">
        <v>42</v>
      </c>
      <c r="R81" t="s">
        <v>28</v>
      </c>
      <c r="S81" t="s">
        <v>28</v>
      </c>
      <c r="T81">
        <v>2.2000000000000002</v>
      </c>
      <c r="U81" t="s">
        <v>39</v>
      </c>
    </row>
    <row r="82" spans="1:21">
      <c r="A82">
        <v>619</v>
      </c>
      <c r="B82" t="s">
        <v>387</v>
      </c>
      <c r="C82" t="s">
        <v>391</v>
      </c>
      <c r="D82">
        <v>5</v>
      </c>
      <c r="G82">
        <v>0.1</v>
      </c>
      <c r="H82" t="s">
        <v>21</v>
      </c>
      <c r="I82" t="s">
        <v>66</v>
      </c>
      <c r="J82" t="s">
        <v>35</v>
      </c>
      <c r="K82" t="s">
        <v>36</v>
      </c>
      <c r="L82" t="s">
        <v>392</v>
      </c>
      <c r="M82" t="s">
        <v>29</v>
      </c>
      <c r="N82">
        <v>275</v>
      </c>
      <c r="O82">
        <v>11</v>
      </c>
      <c r="P82" t="s">
        <v>28</v>
      </c>
      <c r="Q82" t="s">
        <v>28</v>
      </c>
      <c r="R82" t="s">
        <v>28</v>
      </c>
      <c r="S82" t="s">
        <v>28</v>
      </c>
      <c r="T82">
        <v>2.2000000000000002</v>
      </c>
      <c r="U82" t="s">
        <v>39</v>
      </c>
    </row>
    <row r="83" spans="1:21">
      <c r="A83">
        <v>161</v>
      </c>
      <c r="B83" t="s">
        <v>393</v>
      </c>
      <c r="C83" t="s">
        <v>394</v>
      </c>
      <c r="D83">
        <v>5</v>
      </c>
      <c r="G83">
        <v>0.2</v>
      </c>
      <c r="H83" t="s">
        <v>21</v>
      </c>
      <c r="I83" t="s">
        <v>158</v>
      </c>
      <c r="J83" t="s">
        <v>35</v>
      </c>
      <c r="K83" t="s">
        <v>36</v>
      </c>
      <c r="L83" t="s">
        <v>25</v>
      </c>
      <c r="M83" t="s">
        <v>29</v>
      </c>
      <c r="N83">
        <v>258</v>
      </c>
      <c r="O83">
        <v>11</v>
      </c>
      <c r="P83" t="s">
        <v>42</v>
      </c>
      <c r="Q83" t="s">
        <v>28</v>
      </c>
      <c r="R83" t="s">
        <v>28</v>
      </c>
      <c r="S83" t="s">
        <v>28</v>
      </c>
      <c r="T83">
        <v>2.2000000000000002</v>
      </c>
      <c r="U83" t="s">
        <v>39</v>
      </c>
    </row>
    <row r="84" spans="1:21">
      <c r="A84">
        <v>210</v>
      </c>
      <c r="B84" t="s">
        <v>383</v>
      </c>
      <c r="C84" t="s">
        <v>384</v>
      </c>
      <c r="D84">
        <v>5.4</v>
      </c>
      <c r="G84">
        <v>0.7</v>
      </c>
      <c r="H84" t="s">
        <v>21</v>
      </c>
      <c r="I84" t="s">
        <v>91</v>
      </c>
      <c r="J84" t="s">
        <v>35</v>
      </c>
      <c r="K84" t="s">
        <v>36</v>
      </c>
      <c r="L84" t="s">
        <v>25</v>
      </c>
      <c r="M84" t="s">
        <v>26</v>
      </c>
      <c r="N84">
        <v>436</v>
      </c>
      <c r="O84">
        <v>12</v>
      </c>
      <c r="P84" t="s">
        <v>28</v>
      </c>
      <c r="Q84" t="s">
        <v>28</v>
      </c>
      <c r="R84" t="s">
        <v>42</v>
      </c>
      <c r="S84" t="s">
        <v>28</v>
      </c>
      <c r="T84">
        <v>2.2200000000000002</v>
      </c>
      <c r="U84" t="s">
        <v>39</v>
      </c>
    </row>
    <row r="85" spans="1:21">
      <c r="A85">
        <v>471</v>
      </c>
      <c r="B85" t="s">
        <v>385</v>
      </c>
      <c r="C85" t="s">
        <v>386</v>
      </c>
      <c r="D85">
        <v>5.4</v>
      </c>
      <c r="G85">
        <v>1</v>
      </c>
      <c r="H85" t="s">
        <v>274</v>
      </c>
      <c r="I85" t="s">
        <v>170</v>
      </c>
      <c r="J85" t="s">
        <v>23</v>
      </c>
      <c r="K85" t="s">
        <v>24</v>
      </c>
      <c r="L85" t="s">
        <v>25</v>
      </c>
      <c r="M85" t="s">
        <v>37</v>
      </c>
      <c r="N85">
        <v>270</v>
      </c>
      <c r="O85">
        <v>12</v>
      </c>
      <c r="P85" t="s">
        <v>28</v>
      </c>
      <c r="Q85" t="s">
        <v>28</v>
      </c>
      <c r="R85" t="s">
        <v>42</v>
      </c>
      <c r="S85" t="s">
        <v>28</v>
      </c>
      <c r="T85">
        <v>2.2200000000000002</v>
      </c>
      <c r="U85" t="s">
        <v>39</v>
      </c>
    </row>
    <row r="86" spans="1:21">
      <c r="A86">
        <v>570</v>
      </c>
      <c r="B86" t="s">
        <v>387</v>
      </c>
      <c r="C86" t="s">
        <v>388</v>
      </c>
      <c r="D86">
        <v>5.4</v>
      </c>
      <c r="G86">
        <v>0.2</v>
      </c>
      <c r="H86" t="s">
        <v>21</v>
      </c>
      <c r="I86" t="s">
        <v>149</v>
      </c>
      <c r="J86" t="s">
        <v>35</v>
      </c>
      <c r="K86" t="s">
        <v>36</v>
      </c>
      <c r="L86" t="s">
        <v>25</v>
      </c>
      <c r="M86" t="s">
        <v>29</v>
      </c>
      <c r="N86">
        <v>226</v>
      </c>
      <c r="O86">
        <v>12</v>
      </c>
      <c r="P86" t="s">
        <v>42</v>
      </c>
      <c r="Q86" t="s">
        <v>28</v>
      </c>
      <c r="R86" t="s">
        <v>28</v>
      </c>
      <c r="S86" t="s">
        <v>42</v>
      </c>
      <c r="T86">
        <v>2.2200000000000002</v>
      </c>
      <c r="U86" t="s">
        <v>39</v>
      </c>
    </row>
    <row r="87" spans="1:21">
      <c r="A87">
        <v>33</v>
      </c>
      <c r="B87" t="s">
        <v>381</v>
      </c>
      <c r="C87" t="s">
        <v>382</v>
      </c>
      <c r="D87">
        <v>4.5</v>
      </c>
      <c r="G87">
        <v>0.4</v>
      </c>
      <c r="H87" t="s">
        <v>21</v>
      </c>
      <c r="I87" t="s">
        <v>215</v>
      </c>
      <c r="J87" t="s">
        <v>23</v>
      </c>
      <c r="K87" t="s">
        <v>24</v>
      </c>
      <c r="L87" t="s">
        <v>25</v>
      </c>
      <c r="M87" t="s">
        <v>29</v>
      </c>
      <c r="N87">
        <v>261</v>
      </c>
      <c r="O87">
        <v>10</v>
      </c>
      <c r="P87" t="s">
        <v>28</v>
      </c>
      <c r="Q87" t="s">
        <v>28</v>
      </c>
      <c r="R87" t="s">
        <v>42</v>
      </c>
      <c r="S87" t="s">
        <v>28</v>
      </c>
      <c r="T87">
        <v>2.2200000000000002</v>
      </c>
      <c r="U87" t="s">
        <v>31</v>
      </c>
    </row>
    <row r="88" spans="1:21">
      <c r="A88">
        <v>184</v>
      </c>
      <c r="B88" t="s">
        <v>375</v>
      </c>
      <c r="C88" t="s">
        <v>376</v>
      </c>
      <c r="D88">
        <v>4.9000000000000004</v>
      </c>
      <c r="G88">
        <v>0.1</v>
      </c>
      <c r="H88" t="s">
        <v>21</v>
      </c>
      <c r="I88" t="s">
        <v>75</v>
      </c>
      <c r="J88" t="s">
        <v>35</v>
      </c>
      <c r="K88" t="s">
        <v>36</v>
      </c>
      <c r="L88" t="s">
        <v>25</v>
      </c>
      <c r="M88" t="s">
        <v>26</v>
      </c>
      <c r="N88">
        <v>443</v>
      </c>
      <c r="O88">
        <v>11</v>
      </c>
      <c r="P88" t="s">
        <v>28</v>
      </c>
      <c r="Q88" t="s">
        <v>28</v>
      </c>
      <c r="R88" t="s">
        <v>42</v>
      </c>
      <c r="S88" t="s">
        <v>28</v>
      </c>
      <c r="T88">
        <v>2.2400000000000002</v>
      </c>
      <c r="U88" t="s">
        <v>31</v>
      </c>
    </row>
    <row r="89" spans="1:21">
      <c r="A89">
        <v>412</v>
      </c>
      <c r="B89" t="s">
        <v>379</v>
      </c>
      <c r="C89" t="s">
        <v>380</v>
      </c>
      <c r="D89">
        <v>4.9000000000000004</v>
      </c>
      <c r="G89">
        <v>9.9</v>
      </c>
      <c r="H89" t="s">
        <v>21</v>
      </c>
      <c r="I89" t="s">
        <v>177</v>
      </c>
      <c r="J89" t="s">
        <v>46</v>
      </c>
      <c r="K89" t="s">
        <v>47</v>
      </c>
      <c r="L89" t="s">
        <v>25</v>
      </c>
      <c r="M89" t="s">
        <v>26</v>
      </c>
      <c r="N89">
        <v>450</v>
      </c>
      <c r="O89">
        <v>11</v>
      </c>
      <c r="P89" t="s">
        <v>28</v>
      </c>
      <c r="Q89" t="s">
        <v>28</v>
      </c>
      <c r="R89" t="s">
        <v>28</v>
      </c>
      <c r="S89" t="s">
        <v>28</v>
      </c>
      <c r="T89">
        <v>2.2400000000000002</v>
      </c>
      <c r="U89" t="s">
        <v>31</v>
      </c>
    </row>
    <row r="90" spans="1:21">
      <c r="A90">
        <v>529</v>
      </c>
      <c r="B90" t="s">
        <v>371</v>
      </c>
      <c r="C90" t="s">
        <v>372</v>
      </c>
      <c r="D90">
        <v>4.9000000000000004</v>
      </c>
      <c r="G90">
        <v>2.5</v>
      </c>
      <c r="H90" t="s">
        <v>21</v>
      </c>
      <c r="I90" t="s">
        <v>165</v>
      </c>
      <c r="J90" t="s">
        <v>46</v>
      </c>
      <c r="K90" t="s">
        <v>47</v>
      </c>
      <c r="L90" t="s">
        <v>25</v>
      </c>
      <c r="M90" t="s">
        <v>26</v>
      </c>
      <c r="N90">
        <v>450</v>
      </c>
      <c r="O90">
        <v>11</v>
      </c>
      <c r="P90" t="s">
        <v>28</v>
      </c>
      <c r="Q90" t="s">
        <v>28</v>
      </c>
      <c r="R90" t="s">
        <v>42</v>
      </c>
      <c r="S90" t="s">
        <v>28</v>
      </c>
      <c r="T90">
        <v>2.2400000000000002</v>
      </c>
      <c r="U90" t="s">
        <v>31</v>
      </c>
    </row>
    <row r="91" spans="1:21">
      <c r="A91">
        <v>265</v>
      </c>
      <c r="B91" t="s">
        <v>377</v>
      </c>
      <c r="C91" t="s">
        <v>378</v>
      </c>
      <c r="D91">
        <v>4.9000000000000004</v>
      </c>
      <c r="G91">
        <v>0.3</v>
      </c>
      <c r="H91" t="s">
        <v>21</v>
      </c>
      <c r="I91" t="s">
        <v>149</v>
      </c>
      <c r="J91" t="s">
        <v>35</v>
      </c>
      <c r="K91" t="s">
        <v>36</v>
      </c>
      <c r="L91" t="s">
        <v>25</v>
      </c>
      <c r="M91" t="s">
        <v>26</v>
      </c>
      <c r="N91">
        <v>349</v>
      </c>
      <c r="O91">
        <v>11</v>
      </c>
      <c r="P91" t="s">
        <v>28</v>
      </c>
      <c r="Q91" t="s">
        <v>28</v>
      </c>
      <c r="R91" t="s">
        <v>27</v>
      </c>
      <c r="S91" t="s">
        <v>28</v>
      </c>
      <c r="T91">
        <v>2.2400000000000002</v>
      </c>
      <c r="U91" t="s">
        <v>31</v>
      </c>
    </row>
    <row r="92" spans="1:21">
      <c r="A92">
        <v>267</v>
      </c>
      <c r="B92" t="s">
        <v>373</v>
      </c>
      <c r="C92" t="s">
        <v>374</v>
      </c>
      <c r="D92">
        <v>4.9000000000000004</v>
      </c>
      <c r="G92">
        <v>0.1</v>
      </c>
      <c r="H92" t="s">
        <v>21</v>
      </c>
      <c r="I92" t="s">
        <v>66</v>
      </c>
      <c r="J92" t="s">
        <v>35</v>
      </c>
      <c r="K92" t="s">
        <v>36</v>
      </c>
      <c r="L92" t="s">
        <v>25</v>
      </c>
      <c r="M92" t="s">
        <v>26</v>
      </c>
      <c r="N92">
        <v>400</v>
      </c>
      <c r="O92">
        <v>11</v>
      </c>
      <c r="P92" t="s">
        <v>28</v>
      </c>
      <c r="Q92" t="s">
        <v>42</v>
      </c>
      <c r="R92" t="s">
        <v>28</v>
      </c>
      <c r="S92" t="s">
        <v>28</v>
      </c>
      <c r="T92">
        <v>2.2400000000000002</v>
      </c>
      <c r="U92" t="s">
        <v>31</v>
      </c>
    </row>
    <row r="93" spans="1:21">
      <c r="A93">
        <v>377</v>
      </c>
      <c r="B93" t="s">
        <v>369</v>
      </c>
      <c r="C93" t="s">
        <v>370</v>
      </c>
      <c r="D93">
        <v>6.5</v>
      </c>
      <c r="G93">
        <v>0.9</v>
      </c>
      <c r="H93" t="s">
        <v>21</v>
      </c>
      <c r="I93" t="s">
        <v>117</v>
      </c>
      <c r="J93" t="s">
        <v>35</v>
      </c>
      <c r="K93" t="s">
        <v>36</v>
      </c>
      <c r="L93" t="s">
        <v>25</v>
      </c>
      <c r="M93" t="s">
        <v>26</v>
      </c>
      <c r="N93">
        <v>257</v>
      </c>
      <c r="O93">
        <v>15</v>
      </c>
      <c r="P93" t="s">
        <v>42</v>
      </c>
      <c r="Q93" t="s">
        <v>42</v>
      </c>
      <c r="R93" t="s">
        <v>42</v>
      </c>
      <c r="S93" t="s">
        <v>28</v>
      </c>
      <c r="T93">
        <v>2.31</v>
      </c>
      <c r="U93" t="s">
        <v>39</v>
      </c>
    </row>
    <row r="94" spans="1:21">
      <c r="A94">
        <v>569</v>
      </c>
      <c r="B94" t="s">
        <v>363</v>
      </c>
      <c r="C94" t="s">
        <v>364</v>
      </c>
      <c r="D94">
        <v>6</v>
      </c>
      <c r="G94">
        <v>3.9</v>
      </c>
      <c r="H94" t="s">
        <v>21</v>
      </c>
      <c r="I94" t="s">
        <v>149</v>
      </c>
      <c r="J94" t="s">
        <v>107</v>
      </c>
      <c r="K94" t="s">
        <v>108</v>
      </c>
      <c r="L94" t="s">
        <v>25</v>
      </c>
      <c r="M94" t="s">
        <v>26</v>
      </c>
      <c r="N94">
        <v>425</v>
      </c>
      <c r="O94">
        <v>14</v>
      </c>
      <c r="P94" t="s">
        <v>42</v>
      </c>
      <c r="Q94" t="s">
        <v>28</v>
      </c>
      <c r="R94" t="s">
        <v>27</v>
      </c>
      <c r="S94" t="s">
        <v>28</v>
      </c>
      <c r="T94">
        <v>2.33</v>
      </c>
      <c r="U94" t="s">
        <v>39</v>
      </c>
    </row>
    <row r="95" spans="1:21">
      <c r="A95">
        <v>222</v>
      </c>
      <c r="B95" t="s">
        <v>365</v>
      </c>
      <c r="C95" t="s">
        <v>366</v>
      </c>
      <c r="D95">
        <v>6</v>
      </c>
      <c r="G95">
        <v>0.6</v>
      </c>
      <c r="H95" t="s">
        <v>21</v>
      </c>
      <c r="I95" t="s">
        <v>91</v>
      </c>
      <c r="J95" t="s">
        <v>107</v>
      </c>
      <c r="K95" t="s">
        <v>108</v>
      </c>
      <c r="L95" t="s">
        <v>25</v>
      </c>
      <c r="M95" t="s">
        <v>26</v>
      </c>
      <c r="N95">
        <v>298</v>
      </c>
      <c r="O95">
        <v>14</v>
      </c>
      <c r="P95" t="s">
        <v>42</v>
      </c>
      <c r="Q95" t="s">
        <v>28</v>
      </c>
      <c r="R95" t="s">
        <v>42</v>
      </c>
      <c r="S95" t="s">
        <v>27</v>
      </c>
      <c r="T95">
        <v>2.33</v>
      </c>
      <c r="U95" t="s">
        <v>39</v>
      </c>
    </row>
    <row r="96" spans="1:21">
      <c r="A96">
        <v>534</v>
      </c>
      <c r="B96" t="s">
        <v>367</v>
      </c>
      <c r="C96" t="s">
        <v>368</v>
      </c>
      <c r="D96">
        <v>4.3</v>
      </c>
      <c r="G96">
        <v>2.8</v>
      </c>
      <c r="H96" t="s">
        <v>21</v>
      </c>
      <c r="I96" t="s">
        <v>165</v>
      </c>
      <c r="J96" t="s">
        <v>23</v>
      </c>
      <c r="K96" t="s">
        <v>24</v>
      </c>
      <c r="L96" t="s">
        <v>25</v>
      </c>
      <c r="M96" t="s">
        <v>29</v>
      </c>
      <c r="N96">
        <v>206</v>
      </c>
      <c r="O96">
        <v>10</v>
      </c>
      <c r="P96" t="s">
        <v>28</v>
      </c>
      <c r="Q96" t="s">
        <v>28</v>
      </c>
      <c r="R96" t="s">
        <v>42</v>
      </c>
      <c r="S96" t="s">
        <v>28</v>
      </c>
      <c r="T96">
        <v>2.33</v>
      </c>
      <c r="U96" t="s">
        <v>31</v>
      </c>
    </row>
    <row r="97" spans="1:21">
      <c r="A97">
        <v>264</v>
      </c>
      <c r="B97" t="s">
        <v>361</v>
      </c>
      <c r="C97" t="s">
        <v>362</v>
      </c>
      <c r="D97">
        <v>5.5</v>
      </c>
      <c r="G97">
        <v>0.3</v>
      </c>
      <c r="H97" t="s">
        <v>21</v>
      </c>
      <c r="I97" t="s">
        <v>149</v>
      </c>
      <c r="J97" t="s">
        <v>35</v>
      </c>
      <c r="K97" t="s">
        <v>36</v>
      </c>
      <c r="L97" t="s">
        <v>25</v>
      </c>
      <c r="M97" t="s">
        <v>26</v>
      </c>
      <c r="N97">
        <v>343</v>
      </c>
      <c r="O97">
        <v>13</v>
      </c>
      <c r="P97" t="s">
        <v>28</v>
      </c>
      <c r="Q97" t="s">
        <v>28</v>
      </c>
      <c r="R97" t="s">
        <v>37</v>
      </c>
      <c r="S97" t="s">
        <v>28</v>
      </c>
      <c r="T97">
        <v>2.36</v>
      </c>
      <c r="U97" t="s">
        <v>39</v>
      </c>
    </row>
    <row r="98" spans="1:21">
      <c r="A98">
        <v>295</v>
      </c>
      <c r="B98" t="s">
        <v>359</v>
      </c>
      <c r="C98" t="s">
        <v>360</v>
      </c>
      <c r="D98">
        <v>5.5</v>
      </c>
      <c r="G98">
        <v>1.9</v>
      </c>
      <c r="H98" t="s">
        <v>21</v>
      </c>
      <c r="I98" t="s">
        <v>45</v>
      </c>
      <c r="J98" t="s">
        <v>107</v>
      </c>
      <c r="K98" t="s">
        <v>108</v>
      </c>
      <c r="L98" t="s">
        <v>25</v>
      </c>
      <c r="M98" t="s">
        <v>26</v>
      </c>
      <c r="N98">
        <v>441</v>
      </c>
      <c r="O98">
        <v>13</v>
      </c>
      <c r="P98" t="s">
        <v>28</v>
      </c>
      <c r="Q98" t="s">
        <v>27</v>
      </c>
      <c r="R98" t="s">
        <v>37</v>
      </c>
      <c r="S98" t="s">
        <v>28</v>
      </c>
      <c r="T98">
        <v>2.36</v>
      </c>
      <c r="U98" t="s">
        <v>39</v>
      </c>
    </row>
    <row r="99" spans="1:21">
      <c r="A99">
        <v>481</v>
      </c>
      <c r="B99" t="s">
        <v>357</v>
      </c>
      <c r="C99" t="s">
        <v>358</v>
      </c>
      <c r="D99">
        <v>6.3</v>
      </c>
      <c r="G99">
        <v>4</v>
      </c>
      <c r="H99" t="s">
        <v>21</v>
      </c>
      <c r="I99" t="s">
        <v>54</v>
      </c>
      <c r="J99" t="s">
        <v>35</v>
      </c>
      <c r="K99" t="s">
        <v>36</v>
      </c>
      <c r="L99" t="s">
        <v>25</v>
      </c>
      <c r="M99" t="s">
        <v>26</v>
      </c>
      <c r="N99">
        <v>413</v>
      </c>
      <c r="O99">
        <v>15</v>
      </c>
      <c r="P99" t="s">
        <v>28</v>
      </c>
      <c r="Q99" t="s">
        <v>28</v>
      </c>
      <c r="R99" t="s">
        <v>27</v>
      </c>
      <c r="S99" t="s">
        <v>28</v>
      </c>
      <c r="T99">
        <v>2.38</v>
      </c>
      <c r="U99" t="s">
        <v>39</v>
      </c>
    </row>
    <row r="100" spans="1:21">
      <c r="A100">
        <v>73</v>
      </c>
      <c r="B100" t="s">
        <v>355</v>
      </c>
      <c r="C100" t="s">
        <v>356</v>
      </c>
      <c r="D100">
        <v>5</v>
      </c>
      <c r="G100">
        <v>0.3</v>
      </c>
      <c r="H100" t="s">
        <v>21</v>
      </c>
      <c r="I100" t="s">
        <v>96</v>
      </c>
      <c r="J100" t="s">
        <v>35</v>
      </c>
      <c r="K100" t="s">
        <v>36</v>
      </c>
      <c r="L100" t="s">
        <v>25</v>
      </c>
      <c r="M100" t="s">
        <v>26</v>
      </c>
      <c r="N100">
        <v>279</v>
      </c>
      <c r="O100">
        <v>12</v>
      </c>
      <c r="P100" t="s">
        <v>28</v>
      </c>
      <c r="Q100" t="s">
        <v>28</v>
      </c>
      <c r="R100" t="s">
        <v>28</v>
      </c>
      <c r="S100" t="s">
        <v>28</v>
      </c>
      <c r="T100">
        <v>2.4</v>
      </c>
      <c r="U100" t="s">
        <v>39</v>
      </c>
    </row>
    <row r="101" spans="1:21">
      <c r="A101">
        <v>43</v>
      </c>
      <c r="B101" t="s">
        <v>349</v>
      </c>
      <c r="C101" t="s">
        <v>350</v>
      </c>
      <c r="D101">
        <v>5.8</v>
      </c>
      <c r="G101">
        <v>1.5</v>
      </c>
      <c r="H101" t="s">
        <v>21</v>
      </c>
      <c r="I101" t="s">
        <v>177</v>
      </c>
      <c r="J101" t="s">
        <v>35</v>
      </c>
      <c r="K101" t="s">
        <v>36</v>
      </c>
      <c r="L101" t="s">
        <v>25</v>
      </c>
      <c r="M101" t="s">
        <v>26</v>
      </c>
      <c r="N101">
        <v>402</v>
      </c>
      <c r="O101">
        <v>14</v>
      </c>
      <c r="P101" t="s">
        <v>28</v>
      </c>
      <c r="Q101" t="s">
        <v>28</v>
      </c>
      <c r="R101" t="s">
        <v>28</v>
      </c>
      <c r="S101" t="s">
        <v>28</v>
      </c>
      <c r="T101">
        <v>2.41</v>
      </c>
      <c r="U101" t="s">
        <v>39</v>
      </c>
    </row>
    <row r="102" spans="1:21">
      <c r="A102">
        <v>358</v>
      </c>
      <c r="B102" t="s">
        <v>351</v>
      </c>
      <c r="C102" t="s">
        <v>352</v>
      </c>
      <c r="D102">
        <v>5.4</v>
      </c>
      <c r="G102">
        <v>2.2000000000000002</v>
      </c>
      <c r="H102" t="s">
        <v>21</v>
      </c>
      <c r="I102" t="s">
        <v>117</v>
      </c>
      <c r="J102" t="s">
        <v>23</v>
      </c>
      <c r="K102" t="s">
        <v>24</v>
      </c>
      <c r="L102" t="s">
        <v>25</v>
      </c>
      <c r="M102" t="s">
        <v>26</v>
      </c>
      <c r="N102">
        <v>385</v>
      </c>
      <c r="O102">
        <v>13</v>
      </c>
      <c r="P102" t="s">
        <v>28</v>
      </c>
      <c r="Q102" t="s">
        <v>28</v>
      </c>
      <c r="R102" t="s">
        <v>27</v>
      </c>
      <c r="S102" t="s">
        <v>28</v>
      </c>
      <c r="T102">
        <v>2.41</v>
      </c>
      <c r="U102" t="s">
        <v>39</v>
      </c>
    </row>
    <row r="103" spans="1:21">
      <c r="A103">
        <v>533</v>
      </c>
      <c r="B103" t="s">
        <v>353</v>
      </c>
      <c r="C103" t="s">
        <v>354</v>
      </c>
      <c r="D103">
        <v>5.4</v>
      </c>
      <c r="G103">
        <v>1.9</v>
      </c>
      <c r="H103" t="s">
        <v>21</v>
      </c>
      <c r="I103" t="s">
        <v>165</v>
      </c>
      <c r="J103" t="s">
        <v>23</v>
      </c>
      <c r="K103" t="s">
        <v>24</v>
      </c>
      <c r="L103" t="s">
        <v>25</v>
      </c>
      <c r="M103" t="s">
        <v>29</v>
      </c>
      <c r="N103">
        <v>360</v>
      </c>
      <c r="O103">
        <v>13</v>
      </c>
      <c r="P103" t="s">
        <v>28</v>
      </c>
      <c r="Q103" t="s">
        <v>28</v>
      </c>
      <c r="R103" t="s">
        <v>42</v>
      </c>
      <c r="S103" t="s">
        <v>42</v>
      </c>
      <c r="T103">
        <v>2.41</v>
      </c>
      <c r="U103" t="s">
        <v>39</v>
      </c>
    </row>
    <row r="104" spans="1:21">
      <c r="A104">
        <v>464</v>
      </c>
      <c r="B104" t="s">
        <v>347</v>
      </c>
      <c r="C104" t="s">
        <v>348</v>
      </c>
      <c r="D104">
        <v>6.2</v>
      </c>
      <c r="G104">
        <v>18.600000000000001</v>
      </c>
      <c r="H104" t="s">
        <v>21</v>
      </c>
      <c r="I104" t="s">
        <v>80</v>
      </c>
      <c r="J104" t="s">
        <v>107</v>
      </c>
      <c r="K104" t="s">
        <v>108</v>
      </c>
      <c r="L104" t="s">
        <v>25</v>
      </c>
      <c r="M104" t="s">
        <v>26</v>
      </c>
      <c r="N104">
        <v>441</v>
      </c>
      <c r="O104">
        <v>15</v>
      </c>
      <c r="P104" t="s">
        <v>42</v>
      </c>
      <c r="Q104" t="s">
        <v>42</v>
      </c>
      <c r="R104" t="s">
        <v>42</v>
      </c>
      <c r="S104" t="s">
        <v>27</v>
      </c>
      <c r="T104">
        <v>2.42</v>
      </c>
      <c r="U104" t="s">
        <v>39</v>
      </c>
    </row>
    <row r="105" spans="1:21">
      <c r="A105">
        <v>474</v>
      </c>
      <c r="B105" t="s">
        <v>345</v>
      </c>
      <c r="C105" t="s">
        <v>346</v>
      </c>
      <c r="D105">
        <v>4.5</v>
      </c>
      <c r="G105">
        <v>0.2</v>
      </c>
      <c r="H105" t="s">
        <v>21</v>
      </c>
      <c r="I105" t="s">
        <v>170</v>
      </c>
      <c r="J105" t="s">
        <v>23</v>
      </c>
      <c r="K105" t="s">
        <v>24</v>
      </c>
      <c r="L105" t="s">
        <v>25</v>
      </c>
      <c r="M105" t="s">
        <v>29</v>
      </c>
      <c r="N105">
        <v>360</v>
      </c>
      <c r="O105">
        <v>11</v>
      </c>
      <c r="P105" t="s">
        <v>28</v>
      </c>
      <c r="Q105" t="s">
        <v>28</v>
      </c>
      <c r="R105" t="s">
        <v>42</v>
      </c>
      <c r="S105" t="s">
        <v>28</v>
      </c>
      <c r="T105">
        <v>2.44</v>
      </c>
      <c r="U105" t="s">
        <v>31</v>
      </c>
    </row>
    <row r="106" spans="1:21">
      <c r="A106">
        <v>366</v>
      </c>
      <c r="B106" t="s">
        <v>343</v>
      </c>
      <c r="C106" t="s">
        <v>344</v>
      </c>
      <c r="D106">
        <v>7.3</v>
      </c>
      <c r="G106">
        <v>5.7</v>
      </c>
      <c r="H106" t="s">
        <v>21</v>
      </c>
      <c r="I106" t="s">
        <v>117</v>
      </c>
      <c r="J106" t="s">
        <v>35</v>
      </c>
      <c r="K106" t="s">
        <v>36</v>
      </c>
      <c r="L106" t="s">
        <v>25</v>
      </c>
      <c r="M106" t="s">
        <v>26</v>
      </c>
      <c r="N106">
        <v>402</v>
      </c>
      <c r="O106">
        <v>18</v>
      </c>
      <c r="P106" t="s">
        <v>28</v>
      </c>
      <c r="Q106" t="s">
        <v>27</v>
      </c>
      <c r="R106" t="s">
        <v>37</v>
      </c>
      <c r="S106" t="s">
        <v>28</v>
      </c>
      <c r="T106">
        <v>2.4700000000000002</v>
      </c>
      <c r="U106" t="s">
        <v>146</v>
      </c>
    </row>
    <row r="107" spans="1:21">
      <c r="A107">
        <v>411</v>
      </c>
      <c r="B107" t="s">
        <v>337</v>
      </c>
      <c r="C107" t="s">
        <v>338</v>
      </c>
      <c r="D107">
        <v>15.6</v>
      </c>
      <c r="G107">
        <v>73.8</v>
      </c>
      <c r="H107" t="s">
        <v>21</v>
      </c>
      <c r="I107" t="s">
        <v>54</v>
      </c>
      <c r="J107" t="s">
        <v>107</v>
      </c>
      <c r="K107" t="s">
        <v>108</v>
      </c>
      <c r="L107" t="s">
        <v>25</v>
      </c>
      <c r="M107" t="s">
        <v>26</v>
      </c>
      <c r="N107">
        <v>450</v>
      </c>
      <c r="O107">
        <v>39</v>
      </c>
      <c r="P107" t="s">
        <v>26</v>
      </c>
      <c r="Q107" t="s">
        <v>28</v>
      </c>
      <c r="R107" t="s">
        <v>27</v>
      </c>
      <c r="S107" t="s">
        <v>38</v>
      </c>
      <c r="T107">
        <v>2.5</v>
      </c>
      <c r="U107" t="s">
        <v>318</v>
      </c>
    </row>
    <row r="108" spans="1:21">
      <c r="A108">
        <v>26</v>
      </c>
      <c r="B108" t="s">
        <v>335</v>
      </c>
      <c r="C108" t="s">
        <v>336</v>
      </c>
      <c r="D108">
        <v>7.6</v>
      </c>
      <c r="G108">
        <v>8.4</v>
      </c>
      <c r="H108" t="s">
        <v>125</v>
      </c>
      <c r="I108" t="s">
        <v>104</v>
      </c>
      <c r="J108" t="s">
        <v>107</v>
      </c>
      <c r="K108" t="s">
        <v>108</v>
      </c>
      <c r="L108" t="s">
        <v>25</v>
      </c>
      <c r="M108" t="s">
        <v>26</v>
      </c>
      <c r="N108">
        <v>437</v>
      </c>
      <c r="O108">
        <v>19</v>
      </c>
      <c r="P108" t="s">
        <v>27</v>
      </c>
      <c r="Q108" t="s">
        <v>28</v>
      </c>
      <c r="R108" t="s">
        <v>37</v>
      </c>
      <c r="S108" t="s">
        <v>27</v>
      </c>
      <c r="T108">
        <v>2.5</v>
      </c>
      <c r="U108" t="s">
        <v>146</v>
      </c>
    </row>
    <row r="109" spans="1:21">
      <c r="A109">
        <v>70</v>
      </c>
      <c r="B109" t="s">
        <v>339</v>
      </c>
      <c r="C109" t="s">
        <v>340</v>
      </c>
      <c r="D109">
        <v>6</v>
      </c>
      <c r="G109">
        <v>0.9</v>
      </c>
      <c r="H109" t="s">
        <v>274</v>
      </c>
      <c r="I109" t="s">
        <v>96</v>
      </c>
      <c r="J109" t="s">
        <v>35</v>
      </c>
      <c r="K109" t="s">
        <v>36</v>
      </c>
      <c r="L109" t="s">
        <v>25</v>
      </c>
      <c r="M109" t="s">
        <v>29</v>
      </c>
      <c r="N109">
        <v>294</v>
      </c>
      <c r="O109">
        <v>15</v>
      </c>
      <c r="P109" t="s">
        <v>42</v>
      </c>
      <c r="Q109" t="s">
        <v>28</v>
      </c>
      <c r="R109" t="s">
        <v>27</v>
      </c>
      <c r="S109" t="s">
        <v>42</v>
      </c>
      <c r="T109">
        <v>2.5</v>
      </c>
      <c r="U109" t="s">
        <v>39</v>
      </c>
    </row>
    <row r="110" spans="1:21">
      <c r="A110">
        <v>304</v>
      </c>
      <c r="B110" t="s">
        <v>341</v>
      </c>
      <c r="C110" t="s">
        <v>342</v>
      </c>
      <c r="D110">
        <v>4</v>
      </c>
      <c r="G110">
        <v>2.7</v>
      </c>
      <c r="H110" t="s">
        <v>21</v>
      </c>
      <c r="I110" t="s">
        <v>66</v>
      </c>
      <c r="J110" t="s">
        <v>23</v>
      </c>
      <c r="K110" t="s">
        <v>24</v>
      </c>
      <c r="L110" t="s">
        <v>25</v>
      </c>
      <c r="M110" t="s">
        <v>26</v>
      </c>
      <c r="N110">
        <v>450</v>
      </c>
      <c r="O110">
        <v>10</v>
      </c>
      <c r="P110" t="s">
        <v>28</v>
      </c>
      <c r="Q110" t="s">
        <v>28</v>
      </c>
      <c r="R110" t="s">
        <v>28</v>
      </c>
      <c r="S110" t="s">
        <v>28</v>
      </c>
      <c r="T110">
        <v>2.5</v>
      </c>
      <c r="U110" t="s">
        <v>31</v>
      </c>
    </row>
    <row r="111" spans="1:21">
      <c r="A111">
        <v>557</v>
      </c>
      <c r="B111" t="s">
        <v>331</v>
      </c>
      <c r="C111" t="s">
        <v>332</v>
      </c>
      <c r="D111">
        <v>6.3</v>
      </c>
      <c r="G111">
        <v>12.2</v>
      </c>
      <c r="H111" t="s">
        <v>21</v>
      </c>
      <c r="I111" t="s">
        <v>104</v>
      </c>
      <c r="J111" t="s">
        <v>35</v>
      </c>
      <c r="K111" t="s">
        <v>36</v>
      </c>
      <c r="L111" t="s">
        <v>25</v>
      </c>
      <c r="M111" t="s">
        <v>26</v>
      </c>
      <c r="N111">
        <v>362</v>
      </c>
      <c r="O111">
        <v>16</v>
      </c>
      <c r="P111" t="s">
        <v>28</v>
      </c>
      <c r="Q111" t="s">
        <v>27</v>
      </c>
      <c r="R111" t="s">
        <v>27</v>
      </c>
      <c r="S111" t="s">
        <v>42</v>
      </c>
      <c r="T111">
        <v>2.54</v>
      </c>
      <c r="U111" t="s">
        <v>39</v>
      </c>
    </row>
    <row r="112" spans="1:21">
      <c r="A112">
        <v>105</v>
      </c>
      <c r="B112" t="s">
        <v>333</v>
      </c>
      <c r="C112" t="s">
        <v>334</v>
      </c>
      <c r="D112">
        <v>5.9</v>
      </c>
      <c r="G112">
        <v>0.1</v>
      </c>
      <c r="H112" t="s">
        <v>21</v>
      </c>
      <c r="I112" t="s">
        <v>63</v>
      </c>
      <c r="J112" t="s">
        <v>35</v>
      </c>
      <c r="K112" t="s">
        <v>36</v>
      </c>
      <c r="L112" t="s">
        <v>25</v>
      </c>
      <c r="M112" t="s">
        <v>26</v>
      </c>
      <c r="N112">
        <v>267</v>
      </c>
      <c r="O112">
        <v>15</v>
      </c>
      <c r="P112" t="s">
        <v>42</v>
      </c>
      <c r="Q112" t="s">
        <v>28</v>
      </c>
      <c r="R112" t="s">
        <v>27</v>
      </c>
      <c r="S112" t="s">
        <v>27</v>
      </c>
      <c r="T112">
        <v>2.54</v>
      </c>
      <c r="U112" t="s">
        <v>39</v>
      </c>
    </row>
    <row r="113" spans="1:21">
      <c r="A113">
        <v>211</v>
      </c>
      <c r="B113" t="s">
        <v>329</v>
      </c>
      <c r="C113" t="s">
        <v>330</v>
      </c>
      <c r="D113">
        <v>5.5</v>
      </c>
      <c r="G113">
        <v>0.3</v>
      </c>
      <c r="H113" t="s">
        <v>21</v>
      </c>
      <c r="I113" t="s">
        <v>91</v>
      </c>
      <c r="J113" t="s">
        <v>35</v>
      </c>
      <c r="K113" t="s">
        <v>36</v>
      </c>
      <c r="L113" t="s">
        <v>25</v>
      </c>
      <c r="M113" t="s">
        <v>26</v>
      </c>
      <c r="N113">
        <v>307</v>
      </c>
      <c r="O113">
        <v>14</v>
      </c>
      <c r="P113" t="s">
        <v>28</v>
      </c>
      <c r="Q113" t="s">
        <v>27</v>
      </c>
      <c r="R113" t="s">
        <v>42</v>
      </c>
      <c r="S113" t="s">
        <v>28</v>
      </c>
      <c r="T113">
        <v>2.5499999999999998</v>
      </c>
      <c r="U113" t="s">
        <v>39</v>
      </c>
    </row>
    <row r="114" spans="1:21">
      <c r="A114">
        <v>261</v>
      </c>
      <c r="B114" t="s">
        <v>327</v>
      </c>
      <c r="C114" t="s">
        <v>328</v>
      </c>
      <c r="D114">
        <v>5.4</v>
      </c>
      <c r="G114">
        <v>0.7</v>
      </c>
      <c r="H114" t="s">
        <v>21</v>
      </c>
      <c r="I114" t="s">
        <v>149</v>
      </c>
      <c r="J114" t="s">
        <v>35</v>
      </c>
      <c r="K114" t="s">
        <v>36</v>
      </c>
      <c r="L114" t="s">
        <v>25</v>
      </c>
      <c r="M114" t="s">
        <v>26</v>
      </c>
      <c r="N114">
        <v>408</v>
      </c>
      <c r="O114">
        <v>14</v>
      </c>
      <c r="P114" t="s">
        <v>28</v>
      </c>
      <c r="Q114" t="s">
        <v>28</v>
      </c>
      <c r="R114" t="s">
        <v>27</v>
      </c>
      <c r="S114" t="s">
        <v>27</v>
      </c>
      <c r="T114">
        <v>2.59</v>
      </c>
      <c r="U114" t="s">
        <v>39</v>
      </c>
    </row>
    <row r="115" spans="1:21">
      <c r="A115">
        <v>566</v>
      </c>
      <c r="B115" t="s">
        <v>325</v>
      </c>
      <c r="C115" t="s">
        <v>326</v>
      </c>
      <c r="D115">
        <v>5</v>
      </c>
      <c r="G115">
        <v>0.4</v>
      </c>
      <c r="H115" t="s">
        <v>21</v>
      </c>
      <c r="I115" t="s">
        <v>96</v>
      </c>
      <c r="J115" t="s">
        <v>23</v>
      </c>
      <c r="K115" t="s">
        <v>24</v>
      </c>
      <c r="L115" t="s">
        <v>25</v>
      </c>
      <c r="M115" t="s">
        <v>26</v>
      </c>
      <c r="N115">
        <v>450</v>
      </c>
      <c r="O115">
        <v>13</v>
      </c>
      <c r="P115" t="s">
        <v>28</v>
      </c>
      <c r="Q115" t="s">
        <v>28</v>
      </c>
      <c r="R115" t="s">
        <v>28</v>
      </c>
      <c r="S115" t="s">
        <v>28</v>
      </c>
      <c r="T115">
        <v>2.6</v>
      </c>
      <c r="U115" t="s">
        <v>39</v>
      </c>
    </row>
    <row r="116" spans="1:21">
      <c r="A116">
        <v>558</v>
      </c>
      <c r="B116" t="s">
        <v>323</v>
      </c>
      <c r="C116" t="s">
        <v>324</v>
      </c>
      <c r="D116">
        <v>5</v>
      </c>
      <c r="G116">
        <v>0.1</v>
      </c>
      <c r="H116" t="s">
        <v>21</v>
      </c>
      <c r="I116" t="s">
        <v>170</v>
      </c>
      <c r="J116" t="s">
        <v>35</v>
      </c>
      <c r="K116" t="s">
        <v>36</v>
      </c>
      <c r="L116" t="s">
        <v>25</v>
      </c>
      <c r="M116" t="s">
        <v>26</v>
      </c>
      <c r="N116">
        <v>376</v>
      </c>
      <c r="O116">
        <v>13</v>
      </c>
      <c r="P116" t="s">
        <v>28</v>
      </c>
      <c r="Q116" t="s">
        <v>28</v>
      </c>
      <c r="R116" t="s">
        <v>42</v>
      </c>
      <c r="S116" t="s">
        <v>28</v>
      </c>
      <c r="T116">
        <v>2.6</v>
      </c>
      <c r="U116" t="s">
        <v>39</v>
      </c>
    </row>
    <row r="117" spans="1:21">
      <c r="A117">
        <v>580</v>
      </c>
      <c r="B117" t="s">
        <v>321</v>
      </c>
      <c r="C117" t="s">
        <v>322</v>
      </c>
      <c r="D117">
        <v>5</v>
      </c>
      <c r="G117">
        <v>0.1</v>
      </c>
      <c r="H117" t="s">
        <v>21</v>
      </c>
      <c r="I117" t="s">
        <v>149</v>
      </c>
      <c r="J117" t="s">
        <v>35</v>
      </c>
      <c r="K117" t="s">
        <v>36</v>
      </c>
      <c r="L117" t="s">
        <v>25</v>
      </c>
      <c r="M117" t="s">
        <v>26</v>
      </c>
      <c r="N117">
        <v>303</v>
      </c>
      <c r="O117">
        <v>13</v>
      </c>
      <c r="P117" t="s">
        <v>28</v>
      </c>
      <c r="Q117" t="s">
        <v>28</v>
      </c>
      <c r="R117" t="s">
        <v>42</v>
      </c>
      <c r="S117" t="s">
        <v>28</v>
      </c>
      <c r="T117">
        <v>2.6</v>
      </c>
      <c r="U117" t="s">
        <v>39</v>
      </c>
    </row>
    <row r="118" spans="1:21">
      <c r="A118">
        <v>426</v>
      </c>
      <c r="B118" t="s">
        <v>316</v>
      </c>
      <c r="C118" t="s">
        <v>317</v>
      </c>
      <c r="D118">
        <v>11.9</v>
      </c>
      <c r="G118">
        <v>38.5</v>
      </c>
      <c r="H118" t="s">
        <v>21</v>
      </c>
      <c r="I118" t="s">
        <v>177</v>
      </c>
      <c r="J118" t="s">
        <v>35</v>
      </c>
      <c r="K118" t="s">
        <v>36</v>
      </c>
      <c r="L118" t="s">
        <v>25</v>
      </c>
      <c r="M118" t="s">
        <v>26</v>
      </c>
      <c r="N118">
        <v>450</v>
      </c>
      <c r="O118">
        <v>31</v>
      </c>
      <c r="P118" t="s">
        <v>37</v>
      </c>
      <c r="Q118" t="s">
        <v>42</v>
      </c>
      <c r="R118" t="s">
        <v>28</v>
      </c>
      <c r="S118" t="s">
        <v>37</v>
      </c>
      <c r="T118">
        <v>2.61</v>
      </c>
      <c r="U118" t="s">
        <v>318</v>
      </c>
    </row>
    <row r="119" spans="1:21">
      <c r="A119">
        <v>31</v>
      </c>
      <c r="B119" t="s">
        <v>319</v>
      </c>
      <c r="C119" t="s">
        <v>320</v>
      </c>
      <c r="D119">
        <v>4.5999999999999996</v>
      </c>
      <c r="G119">
        <v>19.399999999999999</v>
      </c>
      <c r="H119" t="s">
        <v>21</v>
      </c>
      <c r="I119" t="s">
        <v>104</v>
      </c>
      <c r="J119" t="s">
        <v>23</v>
      </c>
      <c r="K119" t="s">
        <v>24</v>
      </c>
      <c r="L119" t="s">
        <v>25</v>
      </c>
      <c r="M119" t="s">
        <v>29</v>
      </c>
      <c r="N119">
        <v>281</v>
      </c>
      <c r="O119">
        <v>12</v>
      </c>
      <c r="P119" t="s">
        <v>28</v>
      </c>
      <c r="Q119" t="s">
        <v>28</v>
      </c>
      <c r="R119" t="s">
        <v>42</v>
      </c>
      <c r="S119" t="s">
        <v>28</v>
      </c>
      <c r="T119">
        <v>2.61</v>
      </c>
      <c r="U119" t="s">
        <v>31</v>
      </c>
    </row>
    <row r="120" spans="1:21">
      <c r="A120">
        <v>455</v>
      </c>
      <c r="B120" t="s">
        <v>314</v>
      </c>
      <c r="C120" t="s">
        <v>315</v>
      </c>
      <c r="D120">
        <v>5.3</v>
      </c>
      <c r="G120">
        <v>1.9</v>
      </c>
      <c r="H120" t="s">
        <v>21</v>
      </c>
      <c r="I120" t="s">
        <v>122</v>
      </c>
      <c r="J120" t="s">
        <v>35</v>
      </c>
      <c r="K120" t="s">
        <v>36</v>
      </c>
      <c r="L120" t="s">
        <v>25</v>
      </c>
      <c r="M120" t="s">
        <v>26</v>
      </c>
      <c r="N120">
        <v>427</v>
      </c>
      <c r="O120">
        <v>14</v>
      </c>
      <c r="P120" t="s">
        <v>28</v>
      </c>
      <c r="Q120" t="s">
        <v>28</v>
      </c>
      <c r="R120" t="s">
        <v>27</v>
      </c>
      <c r="S120" t="s">
        <v>28</v>
      </c>
      <c r="T120">
        <v>2.64</v>
      </c>
      <c r="U120" t="s">
        <v>39</v>
      </c>
    </row>
    <row r="121" spans="1:21">
      <c r="A121">
        <v>183</v>
      </c>
      <c r="B121" t="s">
        <v>312</v>
      </c>
      <c r="C121" t="s">
        <v>313</v>
      </c>
      <c r="D121">
        <v>4.9000000000000004</v>
      </c>
      <c r="G121">
        <v>0.1</v>
      </c>
      <c r="H121" t="s">
        <v>21</v>
      </c>
      <c r="I121" t="s">
        <v>75</v>
      </c>
      <c r="J121" t="s">
        <v>35</v>
      </c>
      <c r="K121" t="s">
        <v>36</v>
      </c>
      <c r="L121" t="s">
        <v>25</v>
      </c>
      <c r="M121" t="s">
        <v>26</v>
      </c>
      <c r="N121">
        <v>297</v>
      </c>
      <c r="O121">
        <v>13</v>
      </c>
      <c r="P121" t="s">
        <v>28</v>
      </c>
      <c r="Q121" t="s">
        <v>28</v>
      </c>
      <c r="R121" t="s">
        <v>27</v>
      </c>
      <c r="S121" t="s">
        <v>28</v>
      </c>
      <c r="T121">
        <v>2.65</v>
      </c>
      <c r="U121" t="s">
        <v>31</v>
      </c>
    </row>
    <row r="122" spans="1:21">
      <c r="A122">
        <v>254</v>
      </c>
      <c r="B122" t="s">
        <v>310</v>
      </c>
      <c r="C122" t="s">
        <v>311</v>
      </c>
      <c r="D122">
        <v>4.5</v>
      </c>
      <c r="G122">
        <v>1.5</v>
      </c>
      <c r="H122" t="s">
        <v>21</v>
      </c>
      <c r="I122" t="s">
        <v>149</v>
      </c>
      <c r="J122" t="s">
        <v>23</v>
      </c>
      <c r="K122" t="s">
        <v>24</v>
      </c>
      <c r="L122" t="s">
        <v>25</v>
      </c>
      <c r="M122" t="s">
        <v>26</v>
      </c>
      <c r="N122">
        <v>429</v>
      </c>
      <c r="O122">
        <v>12</v>
      </c>
      <c r="P122" t="s">
        <v>28</v>
      </c>
      <c r="Q122" t="s">
        <v>28</v>
      </c>
      <c r="R122" t="s">
        <v>42</v>
      </c>
      <c r="S122" t="s">
        <v>28</v>
      </c>
      <c r="T122">
        <v>2.67</v>
      </c>
      <c r="U122" t="s">
        <v>31</v>
      </c>
    </row>
    <row r="123" spans="1:21">
      <c r="A123">
        <v>650</v>
      </c>
      <c r="B123" t="s">
        <v>307</v>
      </c>
      <c r="C123" t="s">
        <v>308</v>
      </c>
      <c r="D123">
        <v>4.5</v>
      </c>
      <c r="G123">
        <v>0.1</v>
      </c>
      <c r="H123" t="s">
        <v>21</v>
      </c>
      <c r="I123" t="s">
        <v>149</v>
      </c>
      <c r="J123" t="s">
        <v>23</v>
      </c>
      <c r="K123" t="s">
        <v>24</v>
      </c>
      <c r="L123" t="s">
        <v>309</v>
      </c>
      <c r="M123" t="s">
        <v>27</v>
      </c>
      <c r="N123">
        <v>180</v>
      </c>
      <c r="O123">
        <v>12</v>
      </c>
      <c r="P123" t="s">
        <v>28</v>
      </c>
      <c r="Q123" t="s">
        <v>28</v>
      </c>
      <c r="R123" t="s">
        <v>42</v>
      </c>
      <c r="S123" t="s">
        <v>28</v>
      </c>
      <c r="T123">
        <v>2.67</v>
      </c>
      <c r="U123" t="s">
        <v>31</v>
      </c>
    </row>
    <row r="124" spans="1:21">
      <c r="A124">
        <v>13</v>
      </c>
      <c r="B124" t="s">
        <v>305</v>
      </c>
      <c r="C124" t="s">
        <v>306</v>
      </c>
      <c r="D124">
        <v>7.4</v>
      </c>
      <c r="G124">
        <v>11.7</v>
      </c>
      <c r="H124" t="s">
        <v>125</v>
      </c>
      <c r="I124" t="s">
        <v>104</v>
      </c>
      <c r="J124" t="s">
        <v>35</v>
      </c>
      <c r="K124" t="s">
        <v>36</v>
      </c>
      <c r="L124" t="s">
        <v>25</v>
      </c>
      <c r="M124" t="s">
        <v>26</v>
      </c>
      <c r="N124">
        <v>411</v>
      </c>
      <c r="O124">
        <v>20</v>
      </c>
      <c r="P124" t="s">
        <v>28</v>
      </c>
      <c r="Q124" t="s">
        <v>27</v>
      </c>
      <c r="R124" t="s">
        <v>37</v>
      </c>
      <c r="S124" t="s">
        <v>28</v>
      </c>
      <c r="T124">
        <v>2.7</v>
      </c>
      <c r="U124" t="s">
        <v>146</v>
      </c>
    </row>
    <row r="125" spans="1:21">
      <c r="A125">
        <v>516</v>
      </c>
      <c r="B125" t="s">
        <v>303</v>
      </c>
      <c r="C125" t="s">
        <v>304</v>
      </c>
      <c r="D125">
        <v>5.5</v>
      </c>
      <c r="G125">
        <v>0.2</v>
      </c>
      <c r="H125" t="s">
        <v>21</v>
      </c>
      <c r="I125" t="s">
        <v>122</v>
      </c>
      <c r="J125" t="s">
        <v>35</v>
      </c>
      <c r="K125" t="s">
        <v>36</v>
      </c>
      <c r="L125" t="s">
        <v>25</v>
      </c>
      <c r="M125" t="s">
        <v>26</v>
      </c>
      <c r="N125">
        <v>370</v>
      </c>
      <c r="O125">
        <v>15</v>
      </c>
      <c r="P125" t="s">
        <v>28</v>
      </c>
      <c r="Q125" t="s">
        <v>28</v>
      </c>
      <c r="R125" t="s">
        <v>27</v>
      </c>
      <c r="S125" t="s">
        <v>28</v>
      </c>
      <c r="T125">
        <v>2.73</v>
      </c>
      <c r="U125" t="s">
        <v>39</v>
      </c>
    </row>
    <row r="126" spans="1:21">
      <c r="A126">
        <v>591</v>
      </c>
      <c r="B126" t="s">
        <v>299</v>
      </c>
      <c r="C126" t="s">
        <v>300</v>
      </c>
      <c r="D126">
        <v>5.5</v>
      </c>
      <c r="G126">
        <v>0.8</v>
      </c>
      <c r="H126" t="s">
        <v>21</v>
      </c>
      <c r="I126" t="s">
        <v>66</v>
      </c>
      <c r="J126" t="s">
        <v>35</v>
      </c>
      <c r="K126" t="s">
        <v>36</v>
      </c>
      <c r="L126" t="s">
        <v>25</v>
      </c>
      <c r="M126" t="s">
        <v>26</v>
      </c>
      <c r="N126">
        <v>413</v>
      </c>
      <c r="O126">
        <v>15</v>
      </c>
      <c r="P126" t="s">
        <v>28</v>
      </c>
      <c r="Q126" t="s">
        <v>27</v>
      </c>
      <c r="R126" t="s">
        <v>28</v>
      </c>
      <c r="S126" t="s">
        <v>28</v>
      </c>
      <c r="T126">
        <v>2.73</v>
      </c>
      <c r="U126" t="s">
        <v>39</v>
      </c>
    </row>
    <row r="127" spans="1:21">
      <c r="A127">
        <v>483</v>
      </c>
      <c r="B127" t="s">
        <v>301</v>
      </c>
      <c r="C127" t="s">
        <v>302</v>
      </c>
      <c r="D127">
        <v>5.5</v>
      </c>
      <c r="G127">
        <v>0.7</v>
      </c>
      <c r="H127" t="s">
        <v>21</v>
      </c>
      <c r="I127" t="s">
        <v>170</v>
      </c>
      <c r="J127" t="s">
        <v>35</v>
      </c>
      <c r="K127" t="s">
        <v>36</v>
      </c>
      <c r="L127" t="s">
        <v>25</v>
      </c>
      <c r="M127" t="s">
        <v>26</v>
      </c>
      <c r="N127">
        <v>316</v>
      </c>
      <c r="O127">
        <v>15</v>
      </c>
      <c r="P127" t="s">
        <v>42</v>
      </c>
      <c r="Q127" t="s">
        <v>28</v>
      </c>
      <c r="R127" t="s">
        <v>42</v>
      </c>
      <c r="S127" t="s">
        <v>27</v>
      </c>
      <c r="T127">
        <v>2.73</v>
      </c>
      <c r="U127" t="s">
        <v>39</v>
      </c>
    </row>
    <row r="128" spans="1:21">
      <c r="A128">
        <v>129</v>
      </c>
      <c r="B128" t="s">
        <v>297</v>
      </c>
      <c r="C128" t="s">
        <v>298</v>
      </c>
      <c r="D128">
        <v>5.4</v>
      </c>
      <c r="G128">
        <v>0.4</v>
      </c>
      <c r="H128" t="s">
        <v>21</v>
      </c>
      <c r="I128" t="s">
        <v>34</v>
      </c>
      <c r="J128" t="s">
        <v>35</v>
      </c>
      <c r="K128" t="s">
        <v>36</v>
      </c>
      <c r="L128" t="s">
        <v>25</v>
      </c>
      <c r="M128" t="s">
        <v>29</v>
      </c>
      <c r="N128">
        <v>333</v>
      </c>
      <c r="O128">
        <v>15</v>
      </c>
      <c r="P128" t="s">
        <v>42</v>
      </c>
      <c r="Q128" t="s">
        <v>28</v>
      </c>
      <c r="R128" t="s">
        <v>37</v>
      </c>
      <c r="S128" t="s">
        <v>28</v>
      </c>
      <c r="T128">
        <v>2.78</v>
      </c>
      <c r="U128" t="s">
        <v>39</v>
      </c>
    </row>
    <row r="129" spans="1:21">
      <c r="A129">
        <v>445</v>
      </c>
      <c r="B129" t="s">
        <v>295</v>
      </c>
      <c r="C129" t="s">
        <v>296</v>
      </c>
      <c r="D129">
        <v>5</v>
      </c>
      <c r="G129">
        <v>2.2000000000000002</v>
      </c>
      <c r="H129" t="s">
        <v>21</v>
      </c>
      <c r="I129" t="s">
        <v>80</v>
      </c>
      <c r="J129" t="s">
        <v>23</v>
      </c>
      <c r="K129" t="s">
        <v>24</v>
      </c>
      <c r="L129" t="s">
        <v>25</v>
      </c>
      <c r="M129" t="s">
        <v>26</v>
      </c>
      <c r="N129">
        <v>450</v>
      </c>
      <c r="O129">
        <v>14</v>
      </c>
      <c r="P129" t="s">
        <v>28</v>
      </c>
      <c r="Q129" t="s">
        <v>28</v>
      </c>
      <c r="R129" t="s">
        <v>42</v>
      </c>
      <c r="S129" t="s">
        <v>28</v>
      </c>
      <c r="T129">
        <v>2.8</v>
      </c>
      <c r="U129" t="s">
        <v>39</v>
      </c>
    </row>
    <row r="130" spans="1:21">
      <c r="A130">
        <v>467</v>
      </c>
      <c r="B130" t="s">
        <v>289</v>
      </c>
      <c r="C130" t="s">
        <v>290</v>
      </c>
      <c r="D130">
        <v>5</v>
      </c>
      <c r="G130">
        <v>1.6</v>
      </c>
      <c r="H130" t="s">
        <v>21</v>
      </c>
      <c r="I130" t="s">
        <v>170</v>
      </c>
      <c r="J130" t="s">
        <v>46</v>
      </c>
      <c r="K130" t="s">
        <v>47</v>
      </c>
      <c r="L130" t="s">
        <v>25</v>
      </c>
      <c r="M130" t="s">
        <v>26</v>
      </c>
      <c r="N130">
        <v>450</v>
      </c>
      <c r="O130">
        <v>14</v>
      </c>
      <c r="P130" t="s">
        <v>28</v>
      </c>
      <c r="Q130" t="s">
        <v>28</v>
      </c>
      <c r="R130" t="s">
        <v>42</v>
      </c>
      <c r="S130" t="s">
        <v>28</v>
      </c>
      <c r="T130">
        <v>2.8</v>
      </c>
      <c r="U130" t="s">
        <v>39</v>
      </c>
    </row>
    <row r="131" spans="1:21">
      <c r="A131">
        <v>567</v>
      </c>
      <c r="B131" t="s">
        <v>291</v>
      </c>
      <c r="C131" t="s">
        <v>292</v>
      </c>
      <c r="D131">
        <v>5</v>
      </c>
      <c r="G131">
        <v>1.5</v>
      </c>
      <c r="H131" t="s">
        <v>21</v>
      </c>
      <c r="I131" t="s">
        <v>80</v>
      </c>
      <c r="J131" t="s">
        <v>46</v>
      </c>
      <c r="K131" t="s">
        <v>47</v>
      </c>
      <c r="L131" t="s">
        <v>25</v>
      </c>
      <c r="M131" t="s">
        <v>26</v>
      </c>
      <c r="N131">
        <v>450</v>
      </c>
      <c r="O131">
        <v>14</v>
      </c>
      <c r="P131" t="s">
        <v>28</v>
      </c>
      <c r="Q131" t="s">
        <v>28</v>
      </c>
      <c r="R131" t="s">
        <v>42</v>
      </c>
      <c r="S131" t="s">
        <v>28</v>
      </c>
      <c r="T131">
        <v>2.8</v>
      </c>
      <c r="U131" t="s">
        <v>39</v>
      </c>
    </row>
    <row r="132" spans="1:21">
      <c r="A132">
        <v>202</v>
      </c>
      <c r="B132" t="s">
        <v>293</v>
      </c>
      <c r="C132" t="s">
        <v>294</v>
      </c>
      <c r="D132">
        <v>5</v>
      </c>
      <c r="G132">
        <v>0.6</v>
      </c>
      <c r="H132" t="s">
        <v>21</v>
      </c>
      <c r="I132" t="s">
        <v>91</v>
      </c>
      <c r="J132" t="s">
        <v>23</v>
      </c>
      <c r="K132" t="s">
        <v>24</v>
      </c>
      <c r="L132" t="s">
        <v>25</v>
      </c>
      <c r="M132" t="s">
        <v>26</v>
      </c>
      <c r="N132">
        <v>450</v>
      </c>
      <c r="O132">
        <v>14</v>
      </c>
      <c r="P132" t="s">
        <v>28</v>
      </c>
      <c r="Q132" t="s">
        <v>28</v>
      </c>
      <c r="R132" t="s">
        <v>42</v>
      </c>
      <c r="S132" t="s">
        <v>28</v>
      </c>
      <c r="T132">
        <v>2.8</v>
      </c>
      <c r="U132" t="s">
        <v>39</v>
      </c>
    </row>
    <row r="133" spans="1:21">
      <c r="A133">
        <v>368</v>
      </c>
      <c r="B133" t="s">
        <v>285</v>
      </c>
      <c r="C133" t="s">
        <v>286</v>
      </c>
      <c r="D133">
        <v>7</v>
      </c>
      <c r="G133">
        <v>32.9</v>
      </c>
      <c r="H133" t="s">
        <v>21</v>
      </c>
      <c r="I133" t="s">
        <v>117</v>
      </c>
      <c r="J133" t="s">
        <v>35</v>
      </c>
      <c r="K133" t="s">
        <v>36</v>
      </c>
      <c r="L133" t="s">
        <v>25</v>
      </c>
      <c r="M133" t="s">
        <v>26</v>
      </c>
      <c r="N133">
        <v>440</v>
      </c>
      <c r="O133">
        <v>20</v>
      </c>
      <c r="P133" t="s">
        <v>42</v>
      </c>
      <c r="Q133" t="s">
        <v>28</v>
      </c>
      <c r="R133" t="s">
        <v>37</v>
      </c>
      <c r="S133" t="s">
        <v>42</v>
      </c>
      <c r="T133">
        <v>2.86</v>
      </c>
      <c r="U133" t="s">
        <v>146</v>
      </c>
    </row>
    <row r="134" spans="1:21">
      <c r="A134">
        <v>532</v>
      </c>
      <c r="B134" t="s">
        <v>283</v>
      </c>
      <c r="C134" t="s">
        <v>284</v>
      </c>
      <c r="D134">
        <v>4.9000000000000004</v>
      </c>
      <c r="G134">
        <v>2.5</v>
      </c>
      <c r="H134" t="s">
        <v>125</v>
      </c>
      <c r="I134" t="s">
        <v>165</v>
      </c>
      <c r="J134" t="s">
        <v>23</v>
      </c>
      <c r="K134" t="s">
        <v>24</v>
      </c>
      <c r="L134" t="s">
        <v>25</v>
      </c>
      <c r="M134" t="s">
        <v>26</v>
      </c>
      <c r="N134">
        <v>450</v>
      </c>
      <c r="O134">
        <v>14</v>
      </c>
      <c r="P134" t="s">
        <v>28</v>
      </c>
      <c r="Q134" t="s">
        <v>28</v>
      </c>
      <c r="R134" t="s">
        <v>42</v>
      </c>
      <c r="S134" t="s">
        <v>28</v>
      </c>
      <c r="T134">
        <v>2.86</v>
      </c>
      <c r="U134" t="s">
        <v>31</v>
      </c>
    </row>
    <row r="135" spans="1:21">
      <c r="A135">
        <v>345</v>
      </c>
      <c r="B135" t="s">
        <v>287</v>
      </c>
      <c r="C135" t="s">
        <v>288</v>
      </c>
      <c r="D135">
        <v>4.9000000000000004</v>
      </c>
      <c r="G135">
        <v>0.3</v>
      </c>
      <c r="H135" t="s">
        <v>21</v>
      </c>
      <c r="I135" t="s">
        <v>22</v>
      </c>
      <c r="J135" t="s">
        <v>35</v>
      </c>
      <c r="K135" t="s">
        <v>36</v>
      </c>
      <c r="L135" t="s">
        <v>25</v>
      </c>
      <c r="M135" t="s">
        <v>29</v>
      </c>
      <c r="N135">
        <v>255</v>
      </c>
      <c r="O135">
        <v>14</v>
      </c>
      <c r="P135" t="s">
        <v>28</v>
      </c>
      <c r="Q135" t="s">
        <v>27</v>
      </c>
      <c r="R135" t="s">
        <v>27</v>
      </c>
      <c r="S135" t="s">
        <v>28</v>
      </c>
      <c r="T135">
        <v>2.86</v>
      </c>
      <c r="U135" t="s">
        <v>31</v>
      </c>
    </row>
    <row r="136" spans="1:21">
      <c r="A136">
        <v>154</v>
      </c>
      <c r="B136" t="s">
        <v>281</v>
      </c>
      <c r="C136" t="s">
        <v>282</v>
      </c>
      <c r="D136">
        <v>9.6999999999999993</v>
      </c>
      <c r="G136">
        <v>25.8</v>
      </c>
      <c r="H136" t="s">
        <v>125</v>
      </c>
      <c r="I136" t="s">
        <v>158</v>
      </c>
      <c r="J136" t="s">
        <v>35</v>
      </c>
      <c r="K136" t="s">
        <v>36</v>
      </c>
      <c r="L136" t="s">
        <v>25</v>
      </c>
      <c r="M136" t="s">
        <v>26</v>
      </c>
      <c r="N136">
        <v>442</v>
      </c>
      <c r="O136">
        <v>28</v>
      </c>
      <c r="P136" t="s">
        <v>27</v>
      </c>
      <c r="Q136" t="s">
        <v>27</v>
      </c>
      <c r="R136" t="s">
        <v>28</v>
      </c>
      <c r="S136" t="s">
        <v>37</v>
      </c>
      <c r="T136">
        <v>2.89</v>
      </c>
      <c r="U136" t="s">
        <v>210</v>
      </c>
    </row>
    <row r="137" spans="1:21">
      <c r="A137">
        <v>598</v>
      </c>
      <c r="B137" t="s">
        <v>279</v>
      </c>
      <c r="C137" t="s">
        <v>280</v>
      </c>
      <c r="D137">
        <v>4.5</v>
      </c>
      <c r="G137">
        <v>0.1</v>
      </c>
      <c r="H137" t="s">
        <v>21</v>
      </c>
      <c r="I137" t="s">
        <v>22</v>
      </c>
      <c r="J137" t="s">
        <v>23</v>
      </c>
      <c r="K137" t="s">
        <v>24</v>
      </c>
      <c r="L137" t="s">
        <v>25</v>
      </c>
      <c r="M137" t="s">
        <v>29</v>
      </c>
      <c r="N137">
        <v>326</v>
      </c>
      <c r="O137">
        <v>13</v>
      </c>
      <c r="P137" t="s">
        <v>28</v>
      </c>
      <c r="Q137" t="s">
        <v>28</v>
      </c>
      <c r="R137" t="s">
        <v>42</v>
      </c>
      <c r="S137" t="s">
        <v>28</v>
      </c>
      <c r="T137">
        <v>2.89</v>
      </c>
      <c r="U137" t="s">
        <v>31</v>
      </c>
    </row>
    <row r="138" spans="1:21">
      <c r="A138">
        <v>593</v>
      </c>
      <c r="B138" t="s">
        <v>277</v>
      </c>
      <c r="C138" t="s">
        <v>278</v>
      </c>
      <c r="D138">
        <v>4.5</v>
      </c>
      <c r="G138">
        <v>1.8</v>
      </c>
      <c r="H138" t="s">
        <v>274</v>
      </c>
      <c r="I138" t="s">
        <v>80</v>
      </c>
      <c r="J138" t="s">
        <v>23</v>
      </c>
      <c r="K138" t="s">
        <v>24</v>
      </c>
      <c r="L138" t="s">
        <v>25</v>
      </c>
      <c r="M138" t="s">
        <v>29</v>
      </c>
      <c r="N138">
        <v>327</v>
      </c>
      <c r="O138">
        <v>13</v>
      </c>
      <c r="P138" t="s">
        <v>28</v>
      </c>
      <c r="Q138" t="s">
        <v>42</v>
      </c>
      <c r="R138" t="s">
        <v>42</v>
      </c>
      <c r="S138" t="s">
        <v>27</v>
      </c>
      <c r="T138">
        <v>2.89</v>
      </c>
      <c r="U138" t="s">
        <v>31</v>
      </c>
    </row>
    <row r="139" spans="1:21">
      <c r="A139">
        <v>454</v>
      </c>
      <c r="B139" t="s">
        <v>272</v>
      </c>
      <c r="C139" t="s">
        <v>273</v>
      </c>
      <c r="D139">
        <v>6.1</v>
      </c>
      <c r="G139">
        <v>4.5999999999999996</v>
      </c>
      <c r="H139" t="s">
        <v>274</v>
      </c>
      <c r="I139" t="s">
        <v>80</v>
      </c>
      <c r="J139" t="s">
        <v>35</v>
      </c>
      <c r="K139" t="s">
        <v>36</v>
      </c>
      <c r="L139" t="s">
        <v>25</v>
      </c>
      <c r="M139" t="s">
        <v>37</v>
      </c>
      <c r="N139">
        <v>232</v>
      </c>
      <c r="O139">
        <v>18</v>
      </c>
      <c r="P139" t="s">
        <v>27</v>
      </c>
      <c r="Q139" t="s">
        <v>28</v>
      </c>
      <c r="R139" t="s">
        <v>42</v>
      </c>
      <c r="S139" t="s">
        <v>27</v>
      </c>
      <c r="T139">
        <v>2.95</v>
      </c>
      <c r="U139" t="s">
        <v>39</v>
      </c>
    </row>
    <row r="140" spans="1:21">
      <c r="A140">
        <v>113</v>
      </c>
      <c r="B140" t="s">
        <v>275</v>
      </c>
      <c r="C140" t="s">
        <v>276</v>
      </c>
      <c r="D140">
        <v>4.4000000000000004</v>
      </c>
      <c r="G140">
        <v>1.6</v>
      </c>
      <c r="H140" t="s">
        <v>21</v>
      </c>
      <c r="I140" t="s">
        <v>34</v>
      </c>
      <c r="J140" t="s">
        <v>23</v>
      </c>
      <c r="K140" t="s">
        <v>24</v>
      </c>
      <c r="L140" t="s">
        <v>25</v>
      </c>
      <c r="M140" t="s">
        <v>29</v>
      </c>
      <c r="N140">
        <v>332</v>
      </c>
      <c r="O140">
        <v>13</v>
      </c>
      <c r="P140" t="s">
        <v>28</v>
      </c>
      <c r="Q140" t="s">
        <v>28</v>
      </c>
      <c r="R140" t="s">
        <v>27</v>
      </c>
      <c r="S140" t="s">
        <v>28</v>
      </c>
      <c r="T140">
        <v>2.95</v>
      </c>
      <c r="U140" t="s">
        <v>31</v>
      </c>
    </row>
    <row r="141" spans="1:21">
      <c r="A141">
        <v>96</v>
      </c>
      <c r="B141" t="s">
        <v>270</v>
      </c>
      <c r="C141" t="s">
        <v>271</v>
      </c>
      <c r="D141">
        <v>5.4</v>
      </c>
      <c r="G141">
        <v>0.4</v>
      </c>
      <c r="H141" t="s">
        <v>21</v>
      </c>
      <c r="I141" t="s">
        <v>63</v>
      </c>
      <c r="J141" t="s">
        <v>35</v>
      </c>
      <c r="K141" t="s">
        <v>36</v>
      </c>
      <c r="L141" t="s">
        <v>25</v>
      </c>
      <c r="M141" t="s">
        <v>26</v>
      </c>
      <c r="N141">
        <v>283</v>
      </c>
      <c r="O141">
        <v>16</v>
      </c>
      <c r="P141" t="s">
        <v>28</v>
      </c>
      <c r="Q141" t="s">
        <v>42</v>
      </c>
      <c r="R141" t="s">
        <v>27</v>
      </c>
      <c r="S141" t="s">
        <v>37</v>
      </c>
      <c r="T141">
        <v>2.96</v>
      </c>
      <c r="U141" t="s">
        <v>39</v>
      </c>
    </row>
    <row r="142" spans="1:21">
      <c r="A142">
        <v>79</v>
      </c>
      <c r="B142" t="s">
        <v>268</v>
      </c>
      <c r="C142" t="s">
        <v>269</v>
      </c>
      <c r="D142">
        <v>6</v>
      </c>
      <c r="G142">
        <v>3.2</v>
      </c>
      <c r="H142" t="s">
        <v>21</v>
      </c>
      <c r="I142" t="s">
        <v>96</v>
      </c>
      <c r="J142" t="s">
        <v>107</v>
      </c>
      <c r="K142" t="s">
        <v>108</v>
      </c>
      <c r="L142" t="s">
        <v>25</v>
      </c>
      <c r="M142" t="s">
        <v>26</v>
      </c>
      <c r="N142">
        <v>424</v>
      </c>
      <c r="O142">
        <v>18</v>
      </c>
      <c r="P142" t="s">
        <v>28</v>
      </c>
      <c r="Q142" t="s">
        <v>37</v>
      </c>
      <c r="R142" t="s">
        <v>27</v>
      </c>
      <c r="S142" t="s">
        <v>28</v>
      </c>
      <c r="T142">
        <v>3</v>
      </c>
      <c r="U142" t="s">
        <v>39</v>
      </c>
    </row>
    <row r="143" spans="1:21">
      <c r="A143">
        <v>447</v>
      </c>
      <c r="B143" t="s">
        <v>266</v>
      </c>
      <c r="C143" t="s">
        <v>267</v>
      </c>
      <c r="D143">
        <v>5</v>
      </c>
      <c r="G143">
        <v>0.7</v>
      </c>
      <c r="H143" t="s">
        <v>21</v>
      </c>
      <c r="I143" t="s">
        <v>80</v>
      </c>
      <c r="J143" t="s">
        <v>23</v>
      </c>
      <c r="K143" t="s">
        <v>24</v>
      </c>
      <c r="L143" t="s">
        <v>25</v>
      </c>
      <c r="M143" t="s">
        <v>26</v>
      </c>
      <c r="N143">
        <v>450</v>
      </c>
      <c r="O143">
        <v>15</v>
      </c>
      <c r="P143" t="s">
        <v>28</v>
      </c>
      <c r="Q143" t="s">
        <v>28</v>
      </c>
      <c r="R143" t="s">
        <v>42</v>
      </c>
      <c r="S143" t="s">
        <v>28</v>
      </c>
      <c r="T143">
        <v>3</v>
      </c>
      <c r="U143" t="s">
        <v>39</v>
      </c>
    </row>
    <row r="144" spans="1:21">
      <c r="A144">
        <v>47</v>
      </c>
      <c r="B144" t="s">
        <v>262</v>
      </c>
      <c r="C144" t="s">
        <v>263</v>
      </c>
      <c r="D144">
        <v>5</v>
      </c>
      <c r="G144">
        <v>0.3</v>
      </c>
      <c r="H144" t="s">
        <v>21</v>
      </c>
      <c r="I144" t="s">
        <v>215</v>
      </c>
      <c r="J144" t="s">
        <v>35</v>
      </c>
      <c r="K144" t="s">
        <v>36</v>
      </c>
      <c r="L144" t="s">
        <v>25</v>
      </c>
      <c r="M144" t="s">
        <v>26</v>
      </c>
      <c r="N144">
        <v>443</v>
      </c>
      <c r="O144">
        <v>15</v>
      </c>
      <c r="P144" t="s">
        <v>28</v>
      </c>
      <c r="Q144" t="s">
        <v>42</v>
      </c>
      <c r="R144" t="s">
        <v>27</v>
      </c>
      <c r="S144" t="s">
        <v>28</v>
      </c>
      <c r="T144">
        <v>3</v>
      </c>
      <c r="U144" t="s">
        <v>39</v>
      </c>
    </row>
    <row r="145" spans="1:21">
      <c r="A145">
        <v>259</v>
      </c>
      <c r="B145" t="s">
        <v>264</v>
      </c>
      <c r="C145" t="s">
        <v>265</v>
      </c>
      <c r="D145">
        <v>4</v>
      </c>
      <c r="G145">
        <v>12.7</v>
      </c>
      <c r="H145" t="s">
        <v>21</v>
      </c>
      <c r="I145" t="s">
        <v>66</v>
      </c>
      <c r="J145" t="s">
        <v>23</v>
      </c>
      <c r="K145" t="s">
        <v>24</v>
      </c>
      <c r="L145" t="s">
        <v>25</v>
      </c>
      <c r="M145" t="s">
        <v>26</v>
      </c>
      <c r="N145">
        <v>450</v>
      </c>
      <c r="O145">
        <v>12</v>
      </c>
      <c r="P145" t="s">
        <v>28</v>
      </c>
      <c r="Q145" t="s">
        <v>28</v>
      </c>
      <c r="R145" t="s">
        <v>28</v>
      </c>
      <c r="S145" t="s">
        <v>28</v>
      </c>
      <c r="T145">
        <v>3</v>
      </c>
      <c r="U145" t="s">
        <v>31</v>
      </c>
    </row>
    <row r="146" spans="1:21">
      <c r="A146">
        <v>236</v>
      </c>
      <c r="B146" t="s">
        <v>260</v>
      </c>
      <c r="C146" t="s">
        <v>261</v>
      </c>
      <c r="D146">
        <v>6.6</v>
      </c>
      <c r="G146">
        <v>6</v>
      </c>
      <c r="H146" t="s">
        <v>21</v>
      </c>
      <c r="I146" t="s">
        <v>50</v>
      </c>
      <c r="J146" t="s">
        <v>35</v>
      </c>
      <c r="K146" t="s">
        <v>36</v>
      </c>
      <c r="L146" t="s">
        <v>25</v>
      </c>
      <c r="M146" t="s">
        <v>26</v>
      </c>
      <c r="N146">
        <v>450</v>
      </c>
      <c r="O146">
        <v>20</v>
      </c>
      <c r="P146" t="s">
        <v>42</v>
      </c>
      <c r="Q146" t="s">
        <v>28</v>
      </c>
      <c r="R146" t="s">
        <v>37</v>
      </c>
      <c r="S146" t="s">
        <v>37</v>
      </c>
      <c r="T146">
        <v>3.03</v>
      </c>
      <c r="U146" t="s">
        <v>39</v>
      </c>
    </row>
    <row r="147" spans="1:21">
      <c r="A147">
        <v>390</v>
      </c>
      <c r="B147" t="s">
        <v>258</v>
      </c>
      <c r="C147" t="s">
        <v>259</v>
      </c>
      <c r="D147">
        <v>5.5</v>
      </c>
      <c r="G147">
        <v>1.9</v>
      </c>
      <c r="H147" t="s">
        <v>21</v>
      </c>
      <c r="I147" t="s">
        <v>54</v>
      </c>
      <c r="J147" t="s">
        <v>23</v>
      </c>
      <c r="K147" t="s">
        <v>24</v>
      </c>
      <c r="L147" t="s">
        <v>25</v>
      </c>
      <c r="M147" t="s">
        <v>26</v>
      </c>
      <c r="N147">
        <v>450</v>
      </c>
      <c r="O147">
        <v>17</v>
      </c>
      <c r="P147" t="s">
        <v>28</v>
      </c>
      <c r="Q147" t="s">
        <v>28</v>
      </c>
      <c r="R147" t="s">
        <v>27</v>
      </c>
      <c r="S147" t="s">
        <v>28</v>
      </c>
      <c r="T147">
        <v>3.09</v>
      </c>
      <c r="U147" t="s">
        <v>39</v>
      </c>
    </row>
    <row r="148" spans="1:21">
      <c r="A148">
        <v>336</v>
      </c>
      <c r="B148" t="s">
        <v>256</v>
      </c>
      <c r="C148" t="s">
        <v>257</v>
      </c>
      <c r="D148">
        <v>5.8</v>
      </c>
      <c r="G148">
        <v>0.4</v>
      </c>
      <c r="H148" t="s">
        <v>21</v>
      </c>
      <c r="I148" t="s">
        <v>22</v>
      </c>
      <c r="J148" t="s">
        <v>35</v>
      </c>
      <c r="K148" t="s">
        <v>36</v>
      </c>
      <c r="L148" t="s">
        <v>25</v>
      </c>
      <c r="M148" t="s">
        <v>26</v>
      </c>
      <c r="N148">
        <v>299</v>
      </c>
      <c r="O148">
        <v>18</v>
      </c>
      <c r="P148" t="s">
        <v>42</v>
      </c>
      <c r="Q148" t="s">
        <v>28</v>
      </c>
      <c r="R148" t="s">
        <v>37</v>
      </c>
      <c r="S148" t="s">
        <v>42</v>
      </c>
      <c r="T148">
        <v>3.1</v>
      </c>
      <c r="U148" t="s">
        <v>39</v>
      </c>
    </row>
    <row r="149" spans="1:21">
      <c r="A149">
        <v>91</v>
      </c>
      <c r="B149" t="s">
        <v>250</v>
      </c>
      <c r="C149" t="s">
        <v>251</v>
      </c>
      <c r="D149">
        <v>4.5</v>
      </c>
      <c r="G149">
        <v>0.1</v>
      </c>
      <c r="H149" t="s">
        <v>21</v>
      </c>
      <c r="I149" t="s">
        <v>75</v>
      </c>
      <c r="J149" t="s">
        <v>23</v>
      </c>
      <c r="K149" t="s">
        <v>24</v>
      </c>
      <c r="L149" t="s">
        <v>25</v>
      </c>
      <c r="M149" t="s">
        <v>29</v>
      </c>
      <c r="N149">
        <v>282</v>
      </c>
      <c r="O149">
        <v>14</v>
      </c>
      <c r="P149" t="s">
        <v>28</v>
      </c>
      <c r="Q149" t="s">
        <v>28</v>
      </c>
      <c r="R149" t="s">
        <v>42</v>
      </c>
      <c r="S149" t="s">
        <v>28</v>
      </c>
      <c r="T149">
        <v>3.11</v>
      </c>
      <c r="U149" t="s">
        <v>31</v>
      </c>
    </row>
    <row r="150" spans="1:21">
      <c r="A150">
        <v>331</v>
      </c>
      <c r="B150" t="s">
        <v>254</v>
      </c>
      <c r="C150" t="s">
        <v>255</v>
      </c>
      <c r="D150">
        <v>4.5</v>
      </c>
      <c r="G150">
        <v>0.1</v>
      </c>
      <c r="H150" t="s">
        <v>21</v>
      </c>
      <c r="I150" t="s">
        <v>22</v>
      </c>
      <c r="J150" t="s">
        <v>23</v>
      </c>
      <c r="K150" t="s">
        <v>24</v>
      </c>
      <c r="L150" t="s">
        <v>25</v>
      </c>
      <c r="M150" t="s">
        <v>37</v>
      </c>
      <c r="N150">
        <v>252</v>
      </c>
      <c r="O150">
        <v>14</v>
      </c>
      <c r="P150" t="s">
        <v>28</v>
      </c>
      <c r="Q150" t="s">
        <v>28</v>
      </c>
      <c r="R150" t="s">
        <v>27</v>
      </c>
      <c r="S150" t="s">
        <v>28</v>
      </c>
      <c r="T150">
        <v>3.11</v>
      </c>
      <c r="U150" t="s">
        <v>31</v>
      </c>
    </row>
    <row r="151" spans="1:21">
      <c r="A151">
        <v>541</v>
      </c>
      <c r="B151" t="s">
        <v>252</v>
      </c>
      <c r="C151" t="s">
        <v>253</v>
      </c>
      <c r="D151">
        <v>4.5</v>
      </c>
      <c r="G151">
        <v>0.3</v>
      </c>
      <c r="H151" t="s">
        <v>21</v>
      </c>
      <c r="I151" t="s">
        <v>165</v>
      </c>
      <c r="J151" t="s">
        <v>23</v>
      </c>
      <c r="K151" t="s">
        <v>24</v>
      </c>
      <c r="L151" t="s">
        <v>25</v>
      </c>
      <c r="M151" t="s">
        <v>26</v>
      </c>
      <c r="N151">
        <v>396</v>
      </c>
      <c r="O151">
        <v>14</v>
      </c>
      <c r="P151" t="s">
        <v>28</v>
      </c>
      <c r="Q151" t="s">
        <v>42</v>
      </c>
      <c r="R151" t="s">
        <v>42</v>
      </c>
      <c r="S151" t="s">
        <v>28</v>
      </c>
      <c r="T151">
        <v>3.11</v>
      </c>
      <c r="U151" t="s">
        <v>31</v>
      </c>
    </row>
    <row r="152" spans="1:21">
      <c r="A152">
        <v>4</v>
      </c>
      <c r="B152" t="s">
        <v>248</v>
      </c>
      <c r="C152" t="s">
        <v>249</v>
      </c>
      <c r="D152">
        <v>8</v>
      </c>
      <c r="G152">
        <v>22.7</v>
      </c>
      <c r="H152" t="s">
        <v>21</v>
      </c>
      <c r="I152" t="s">
        <v>104</v>
      </c>
      <c r="J152" t="s">
        <v>23</v>
      </c>
      <c r="K152" t="s">
        <v>24</v>
      </c>
      <c r="L152" t="s">
        <v>25</v>
      </c>
      <c r="M152" t="s">
        <v>26</v>
      </c>
      <c r="N152">
        <v>450</v>
      </c>
      <c r="O152">
        <v>25</v>
      </c>
      <c r="P152" t="s">
        <v>28</v>
      </c>
      <c r="Q152" t="s">
        <v>28</v>
      </c>
      <c r="R152" t="s">
        <v>37</v>
      </c>
      <c r="S152" t="s">
        <v>27</v>
      </c>
      <c r="T152">
        <v>3.13</v>
      </c>
      <c r="U152" t="s">
        <v>146</v>
      </c>
    </row>
    <row r="153" spans="1:21">
      <c r="A153">
        <v>45</v>
      </c>
      <c r="B153" t="s">
        <v>246</v>
      </c>
      <c r="C153" t="s">
        <v>247</v>
      </c>
      <c r="D153">
        <v>5.4</v>
      </c>
      <c r="G153">
        <v>2.2000000000000002</v>
      </c>
      <c r="H153" t="s">
        <v>21</v>
      </c>
      <c r="I153" t="s">
        <v>215</v>
      </c>
      <c r="J153" t="s">
        <v>35</v>
      </c>
      <c r="K153" t="s">
        <v>36</v>
      </c>
      <c r="L153" t="s">
        <v>25</v>
      </c>
      <c r="M153" t="s">
        <v>26</v>
      </c>
      <c r="N153">
        <v>434</v>
      </c>
      <c r="O153">
        <v>17</v>
      </c>
      <c r="P153" t="s">
        <v>28</v>
      </c>
      <c r="Q153" t="s">
        <v>27</v>
      </c>
      <c r="R153" t="s">
        <v>27</v>
      </c>
      <c r="S153" t="s">
        <v>42</v>
      </c>
      <c r="T153">
        <v>3.15</v>
      </c>
      <c r="U153" t="s">
        <v>39</v>
      </c>
    </row>
    <row r="154" spans="1:21">
      <c r="A154">
        <v>427</v>
      </c>
      <c r="B154" t="s">
        <v>244</v>
      </c>
      <c r="C154" t="s">
        <v>245</v>
      </c>
      <c r="D154">
        <v>7.9</v>
      </c>
      <c r="G154">
        <v>20.6</v>
      </c>
      <c r="H154" t="s">
        <v>21</v>
      </c>
      <c r="I154" t="s">
        <v>177</v>
      </c>
      <c r="J154" t="s">
        <v>35</v>
      </c>
      <c r="K154" t="s">
        <v>36</v>
      </c>
      <c r="L154" t="s">
        <v>25</v>
      </c>
      <c r="M154" t="s">
        <v>26</v>
      </c>
      <c r="N154">
        <v>450</v>
      </c>
      <c r="O154">
        <v>25</v>
      </c>
      <c r="P154" t="s">
        <v>27</v>
      </c>
      <c r="Q154" t="s">
        <v>42</v>
      </c>
      <c r="R154" t="s">
        <v>28</v>
      </c>
      <c r="S154" t="s">
        <v>37</v>
      </c>
      <c r="T154">
        <v>3.16</v>
      </c>
      <c r="U154" t="s">
        <v>146</v>
      </c>
    </row>
    <row r="155" spans="1:21">
      <c r="A155">
        <v>542</v>
      </c>
      <c r="B155" t="s">
        <v>242</v>
      </c>
      <c r="C155" t="s">
        <v>243</v>
      </c>
      <c r="D155">
        <v>5.7</v>
      </c>
      <c r="G155">
        <v>3.4</v>
      </c>
      <c r="H155" t="s">
        <v>21</v>
      </c>
      <c r="I155" t="s">
        <v>165</v>
      </c>
      <c r="J155" t="s">
        <v>35</v>
      </c>
      <c r="K155" t="s">
        <v>36</v>
      </c>
      <c r="L155" t="s">
        <v>25</v>
      </c>
      <c r="M155" t="s">
        <v>26</v>
      </c>
      <c r="N155">
        <v>438</v>
      </c>
      <c r="O155">
        <v>18</v>
      </c>
      <c r="P155" t="s">
        <v>42</v>
      </c>
      <c r="Q155" t="s">
        <v>42</v>
      </c>
      <c r="R155" t="s">
        <v>42</v>
      </c>
      <c r="S155" t="s">
        <v>42</v>
      </c>
      <c r="T155">
        <v>3.16</v>
      </c>
      <c r="U155" t="s">
        <v>39</v>
      </c>
    </row>
    <row r="156" spans="1:21">
      <c r="A156">
        <v>244</v>
      </c>
      <c r="B156" t="s">
        <v>240</v>
      </c>
      <c r="C156" t="s">
        <v>241</v>
      </c>
      <c r="D156">
        <v>5</v>
      </c>
      <c r="G156">
        <v>0.4</v>
      </c>
      <c r="H156" t="s">
        <v>21</v>
      </c>
      <c r="I156" t="s">
        <v>50</v>
      </c>
      <c r="J156" t="s">
        <v>35</v>
      </c>
      <c r="K156" t="s">
        <v>36</v>
      </c>
      <c r="L156" t="s">
        <v>25</v>
      </c>
      <c r="M156" t="s">
        <v>26</v>
      </c>
      <c r="N156">
        <v>446</v>
      </c>
      <c r="O156">
        <v>16</v>
      </c>
      <c r="P156" t="s">
        <v>28</v>
      </c>
      <c r="Q156" t="s">
        <v>42</v>
      </c>
      <c r="R156" t="s">
        <v>37</v>
      </c>
      <c r="S156" t="s">
        <v>28</v>
      </c>
      <c r="T156">
        <v>3.2</v>
      </c>
      <c r="U156" t="s">
        <v>39</v>
      </c>
    </row>
    <row r="157" spans="1:21">
      <c r="A157">
        <v>551</v>
      </c>
      <c r="B157" t="s">
        <v>238</v>
      </c>
      <c r="C157" t="s">
        <v>239</v>
      </c>
      <c r="D157">
        <v>5</v>
      </c>
      <c r="G157">
        <v>0.1</v>
      </c>
      <c r="H157" t="s">
        <v>21</v>
      </c>
      <c r="I157" t="s">
        <v>165</v>
      </c>
      <c r="J157" t="s">
        <v>35</v>
      </c>
      <c r="K157" t="s">
        <v>36</v>
      </c>
      <c r="L157" t="s">
        <v>25</v>
      </c>
      <c r="M157" t="s">
        <v>26</v>
      </c>
      <c r="N157">
        <v>313</v>
      </c>
      <c r="O157">
        <v>16</v>
      </c>
      <c r="P157" t="s">
        <v>42</v>
      </c>
      <c r="Q157" t="s">
        <v>42</v>
      </c>
      <c r="R157" t="s">
        <v>42</v>
      </c>
      <c r="S157" t="s">
        <v>28</v>
      </c>
      <c r="T157">
        <v>3.2</v>
      </c>
      <c r="U157" t="s">
        <v>39</v>
      </c>
    </row>
    <row r="158" spans="1:21">
      <c r="A158">
        <v>503</v>
      </c>
      <c r="B158" t="s">
        <v>234</v>
      </c>
      <c r="C158" t="s">
        <v>235</v>
      </c>
      <c r="D158">
        <v>5</v>
      </c>
      <c r="G158">
        <v>3.8</v>
      </c>
      <c r="H158" t="s">
        <v>21</v>
      </c>
      <c r="I158" t="s">
        <v>122</v>
      </c>
      <c r="J158" t="s">
        <v>23</v>
      </c>
      <c r="K158" t="s">
        <v>24</v>
      </c>
      <c r="L158" t="s">
        <v>25</v>
      </c>
      <c r="M158" t="s">
        <v>29</v>
      </c>
      <c r="N158">
        <v>360</v>
      </c>
      <c r="O158">
        <v>16</v>
      </c>
      <c r="P158" t="s">
        <v>28</v>
      </c>
      <c r="Q158" t="s">
        <v>28</v>
      </c>
      <c r="R158" t="s">
        <v>27</v>
      </c>
      <c r="S158" t="s">
        <v>37</v>
      </c>
      <c r="T158">
        <v>3.2</v>
      </c>
      <c r="U158" t="s">
        <v>39</v>
      </c>
    </row>
    <row r="159" spans="1:21">
      <c r="A159">
        <v>597</v>
      </c>
      <c r="B159" t="s">
        <v>236</v>
      </c>
      <c r="C159" t="s">
        <v>237</v>
      </c>
      <c r="D159">
        <v>5</v>
      </c>
      <c r="G159">
        <v>1.9</v>
      </c>
      <c r="H159" t="s">
        <v>21</v>
      </c>
      <c r="I159" t="s">
        <v>215</v>
      </c>
      <c r="J159" t="s">
        <v>46</v>
      </c>
      <c r="K159" t="s">
        <v>47</v>
      </c>
      <c r="L159" t="s">
        <v>25</v>
      </c>
      <c r="M159" t="s">
        <v>29</v>
      </c>
      <c r="N159">
        <v>360</v>
      </c>
      <c r="O159">
        <v>16</v>
      </c>
      <c r="P159" t="s">
        <v>28</v>
      </c>
      <c r="Q159" t="s">
        <v>28</v>
      </c>
      <c r="R159" t="s">
        <v>42</v>
      </c>
      <c r="S159" t="s">
        <v>37</v>
      </c>
      <c r="T159">
        <v>3.2</v>
      </c>
      <c r="U159" t="s">
        <v>39</v>
      </c>
    </row>
    <row r="160" spans="1:21">
      <c r="A160">
        <v>428</v>
      </c>
      <c r="B160" t="s">
        <v>232</v>
      </c>
      <c r="C160" t="s">
        <v>233</v>
      </c>
      <c r="D160">
        <v>7.9</v>
      </c>
      <c r="G160">
        <v>5.8</v>
      </c>
      <c r="H160" t="s">
        <v>21</v>
      </c>
      <c r="I160" t="s">
        <v>177</v>
      </c>
      <c r="J160" t="s">
        <v>35</v>
      </c>
      <c r="K160" t="s">
        <v>36</v>
      </c>
      <c r="L160" t="s">
        <v>25</v>
      </c>
      <c r="M160" t="s">
        <v>26</v>
      </c>
      <c r="N160">
        <v>407</v>
      </c>
      <c r="O160">
        <v>26</v>
      </c>
      <c r="P160" t="s">
        <v>42</v>
      </c>
      <c r="Q160" t="s">
        <v>27</v>
      </c>
      <c r="R160" t="s">
        <v>42</v>
      </c>
      <c r="S160" t="s">
        <v>29</v>
      </c>
      <c r="T160">
        <v>3.29</v>
      </c>
      <c r="U160" t="s">
        <v>146</v>
      </c>
    </row>
    <row r="161" spans="1:21">
      <c r="A161">
        <v>290</v>
      </c>
      <c r="B161" t="s">
        <v>230</v>
      </c>
      <c r="C161" t="s">
        <v>231</v>
      </c>
      <c r="D161">
        <v>4.5</v>
      </c>
      <c r="G161">
        <v>5.2</v>
      </c>
      <c r="H161" t="s">
        <v>21</v>
      </c>
      <c r="I161" t="s">
        <v>45</v>
      </c>
      <c r="J161" t="s">
        <v>35</v>
      </c>
      <c r="K161" t="s">
        <v>36</v>
      </c>
      <c r="L161" t="s">
        <v>25</v>
      </c>
      <c r="M161" t="s">
        <v>26</v>
      </c>
      <c r="N161">
        <v>437</v>
      </c>
      <c r="O161">
        <v>15</v>
      </c>
      <c r="P161" t="s">
        <v>28</v>
      </c>
      <c r="Q161" t="s">
        <v>42</v>
      </c>
      <c r="R161" t="s">
        <v>37</v>
      </c>
      <c r="S161" t="s">
        <v>28</v>
      </c>
      <c r="T161">
        <v>3.33</v>
      </c>
      <c r="U161" t="s">
        <v>31</v>
      </c>
    </row>
    <row r="162" spans="1:21">
      <c r="A162">
        <v>257</v>
      </c>
      <c r="B162" t="s">
        <v>228</v>
      </c>
      <c r="C162" t="s">
        <v>229</v>
      </c>
      <c r="D162">
        <v>4.5</v>
      </c>
      <c r="G162">
        <v>0.7</v>
      </c>
      <c r="H162" t="s">
        <v>21</v>
      </c>
      <c r="I162" t="s">
        <v>149</v>
      </c>
      <c r="J162" t="s">
        <v>23</v>
      </c>
      <c r="K162" t="s">
        <v>24</v>
      </c>
      <c r="L162" t="s">
        <v>25</v>
      </c>
      <c r="M162" t="s">
        <v>26</v>
      </c>
      <c r="N162">
        <v>450</v>
      </c>
      <c r="O162">
        <v>15</v>
      </c>
      <c r="P162" t="s">
        <v>28</v>
      </c>
      <c r="Q162" t="s">
        <v>42</v>
      </c>
      <c r="R162" t="s">
        <v>42</v>
      </c>
      <c r="S162" t="s">
        <v>42</v>
      </c>
      <c r="T162">
        <v>3.33</v>
      </c>
      <c r="U162" t="s">
        <v>31</v>
      </c>
    </row>
    <row r="163" spans="1:21">
      <c r="A163">
        <v>12</v>
      </c>
      <c r="B163" t="s">
        <v>226</v>
      </c>
      <c r="C163" t="s">
        <v>227</v>
      </c>
      <c r="D163">
        <v>9.5</v>
      </c>
      <c r="G163">
        <v>13.6</v>
      </c>
      <c r="H163" t="s">
        <v>21</v>
      </c>
      <c r="I163" t="s">
        <v>104</v>
      </c>
      <c r="J163" t="s">
        <v>35</v>
      </c>
      <c r="K163" t="s">
        <v>36</v>
      </c>
      <c r="L163" t="s">
        <v>25</v>
      </c>
      <c r="M163" t="s">
        <v>26</v>
      </c>
      <c r="N163">
        <v>416</v>
      </c>
      <c r="O163">
        <v>32</v>
      </c>
      <c r="P163" t="s">
        <v>37</v>
      </c>
      <c r="Q163" t="s">
        <v>28</v>
      </c>
      <c r="R163" t="s">
        <v>37</v>
      </c>
      <c r="S163" t="s">
        <v>29</v>
      </c>
      <c r="T163">
        <v>3.37</v>
      </c>
      <c r="U163" t="s">
        <v>210</v>
      </c>
    </row>
    <row r="164" spans="1:21">
      <c r="A164">
        <v>384</v>
      </c>
      <c r="B164" t="s">
        <v>222</v>
      </c>
      <c r="C164" t="s">
        <v>223</v>
      </c>
      <c r="D164">
        <v>5.5</v>
      </c>
      <c r="G164">
        <v>7.6</v>
      </c>
      <c r="H164" t="s">
        <v>21</v>
      </c>
      <c r="I164" t="s">
        <v>54</v>
      </c>
      <c r="J164" t="s">
        <v>46</v>
      </c>
      <c r="K164" t="s">
        <v>47</v>
      </c>
      <c r="L164" t="s">
        <v>25</v>
      </c>
      <c r="M164" t="s">
        <v>26</v>
      </c>
      <c r="N164">
        <v>450</v>
      </c>
      <c r="O164">
        <v>19</v>
      </c>
      <c r="P164" t="s">
        <v>28</v>
      </c>
      <c r="Q164" t="s">
        <v>28</v>
      </c>
      <c r="R164" t="s">
        <v>27</v>
      </c>
      <c r="S164" t="s">
        <v>28</v>
      </c>
      <c r="T164">
        <v>3.45</v>
      </c>
      <c r="U164" t="s">
        <v>39</v>
      </c>
    </row>
    <row r="165" spans="1:21">
      <c r="A165">
        <v>242</v>
      </c>
      <c r="B165" t="s">
        <v>224</v>
      </c>
      <c r="C165" t="s">
        <v>225</v>
      </c>
      <c r="D165">
        <v>5.5</v>
      </c>
      <c r="G165">
        <v>0.9</v>
      </c>
      <c r="H165" t="s">
        <v>21</v>
      </c>
      <c r="I165" t="s">
        <v>50</v>
      </c>
      <c r="J165" t="s">
        <v>35</v>
      </c>
      <c r="K165" t="s">
        <v>36</v>
      </c>
      <c r="L165" t="s">
        <v>25</v>
      </c>
      <c r="M165" t="s">
        <v>26</v>
      </c>
      <c r="N165">
        <v>309</v>
      </c>
      <c r="O165">
        <v>19</v>
      </c>
      <c r="P165" t="s">
        <v>42</v>
      </c>
      <c r="Q165" t="s">
        <v>28</v>
      </c>
      <c r="R165" t="s">
        <v>27</v>
      </c>
      <c r="S165" t="s">
        <v>37</v>
      </c>
      <c r="T165">
        <v>3.45</v>
      </c>
      <c r="U165" t="s">
        <v>39</v>
      </c>
    </row>
    <row r="166" spans="1:21">
      <c r="A166">
        <v>480</v>
      </c>
      <c r="B166" t="s">
        <v>220</v>
      </c>
      <c r="C166" t="s">
        <v>221</v>
      </c>
      <c r="D166">
        <v>8</v>
      </c>
      <c r="G166">
        <v>15.7</v>
      </c>
      <c r="H166" t="s">
        <v>21</v>
      </c>
      <c r="I166" t="s">
        <v>170</v>
      </c>
      <c r="J166" t="s">
        <v>35</v>
      </c>
      <c r="K166" t="s">
        <v>36</v>
      </c>
      <c r="L166" t="s">
        <v>25</v>
      </c>
      <c r="M166" t="s">
        <v>26</v>
      </c>
      <c r="N166">
        <v>450</v>
      </c>
      <c r="O166">
        <v>28</v>
      </c>
      <c r="P166" t="s">
        <v>42</v>
      </c>
      <c r="Q166" t="s">
        <v>27</v>
      </c>
      <c r="R166" t="s">
        <v>42</v>
      </c>
      <c r="S166" t="s">
        <v>30</v>
      </c>
      <c r="T166">
        <v>3.5</v>
      </c>
      <c r="U166" t="s">
        <v>146</v>
      </c>
    </row>
    <row r="167" spans="1:21">
      <c r="A167">
        <v>280</v>
      </c>
      <c r="B167" t="s">
        <v>218</v>
      </c>
      <c r="C167" t="s">
        <v>219</v>
      </c>
      <c r="D167">
        <v>4</v>
      </c>
      <c r="G167">
        <v>0.7</v>
      </c>
      <c r="H167" t="s">
        <v>21</v>
      </c>
      <c r="I167" t="s">
        <v>45</v>
      </c>
      <c r="J167" t="s">
        <v>23</v>
      </c>
      <c r="K167" t="s">
        <v>24</v>
      </c>
      <c r="L167" t="s">
        <v>25</v>
      </c>
      <c r="M167" t="s">
        <v>26</v>
      </c>
      <c r="N167">
        <v>348</v>
      </c>
      <c r="O167">
        <v>14</v>
      </c>
      <c r="P167" t="s">
        <v>28</v>
      </c>
      <c r="Q167" t="s">
        <v>28</v>
      </c>
      <c r="R167" t="s">
        <v>27</v>
      </c>
      <c r="S167" t="s">
        <v>28</v>
      </c>
      <c r="T167">
        <v>3.5</v>
      </c>
      <c r="U167" t="s">
        <v>31</v>
      </c>
    </row>
    <row r="168" spans="1:21">
      <c r="A168">
        <v>41</v>
      </c>
      <c r="B168" t="s">
        <v>213</v>
      </c>
      <c r="C168" t="s">
        <v>214</v>
      </c>
      <c r="D168">
        <v>5.9</v>
      </c>
      <c r="G168">
        <v>1</v>
      </c>
      <c r="H168" t="s">
        <v>21</v>
      </c>
      <c r="I168" t="s">
        <v>215</v>
      </c>
      <c r="J168" t="s">
        <v>35</v>
      </c>
      <c r="K168" t="s">
        <v>36</v>
      </c>
      <c r="L168" t="s">
        <v>25</v>
      </c>
      <c r="M168" t="s">
        <v>26</v>
      </c>
      <c r="N168">
        <v>401</v>
      </c>
      <c r="O168">
        <v>21</v>
      </c>
      <c r="P168" t="s">
        <v>42</v>
      </c>
      <c r="Q168" t="s">
        <v>28</v>
      </c>
      <c r="R168" t="s">
        <v>42</v>
      </c>
      <c r="S168" t="s">
        <v>37</v>
      </c>
      <c r="T168">
        <v>3.56</v>
      </c>
      <c r="U168" t="s">
        <v>39</v>
      </c>
    </row>
    <row r="169" spans="1:21">
      <c r="A169">
        <v>110</v>
      </c>
      <c r="B169" t="s">
        <v>216</v>
      </c>
      <c r="C169" t="s">
        <v>217</v>
      </c>
      <c r="D169">
        <v>4.5</v>
      </c>
      <c r="G169">
        <v>0.8</v>
      </c>
      <c r="H169" t="s">
        <v>21</v>
      </c>
      <c r="I169" t="s">
        <v>75</v>
      </c>
      <c r="J169" t="s">
        <v>46</v>
      </c>
      <c r="K169" t="s">
        <v>47</v>
      </c>
      <c r="L169" t="s">
        <v>25</v>
      </c>
      <c r="M169" t="s">
        <v>26</v>
      </c>
      <c r="N169">
        <v>450</v>
      </c>
      <c r="O169">
        <v>16</v>
      </c>
      <c r="P169" t="s">
        <v>28</v>
      </c>
      <c r="Q169" t="s">
        <v>42</v>
      </c>
      <c r="R169" t="s">
        <v>42</v>
      </c>
      <c r="S169" t="s">
        <v>27</v>
      </c>
      <c r="T169">
        <v>3.56</v>
      </c>
      <c r="U169" t="s">
        <v>31</v>
      </c>
    </row>
    <row r="170" spans="1:21">
      <c r="A170">
        <v>249</v>
      </c>
      <c r="B170" t="s">
        <v>211</v>
      </c>
      <c r="C170" t="s">
        <v>212</v>
      </c>
      <c r="D170">
        <v>5.6</v>
      </c>
      <c r="G170">
        <v>8.3000000000000007</v>
      </c>
      <c r="H170" t="s">
        <v>21</v>
      </c>
      <c r="I170" t="s">
        <v>50</v>
      </c>
      <c r="J170" t="s">
        <v>107</v>
      </c>
      <c r="K170" t="s">
        <v>108</v>
      </c>
      <c r="L170" t="s">
        <v>25</v>
      </c>
      <c r="M170" t="s">
        <v>26</v>
      </c>
      <c r="N170">
        <v>417</v>
      </c>
      <c r="O170">
        <v>20</v>
      </c>
      <c r="P170" t="s">
        <v>27</v>
      </c>
      <c r="Q170" t="s">
        <v>28</v>
      </c>
      <c r="R170" t="s">
        <v>37</v>
      </c>
      <c r="S170" t="s">
        <v>27</v>
      </c>
      <c r="T170">
        <v>3.57</v>
      </c>
      <c r="U170" t="s">
        <v>39</v>
      </c>
    </row>
    <row r="171" spans="1:21">
      <c r="A171">
        <v>379</v>
      </c>
      <c r="B171" t="s">
        <v>208</v>
      </c>
      <c r="C171" t="s">
        <v>209</v>
      </c>
      <c r="D171">
        <v>9.1</v>
      </c>
      <c r="G171">
        <v>22.5</v>
      </c>
      <c r="H171" t="s">
        <v>125</v>
      </c>
      <c r="I171" t="s">
        <v>117</v>
      </c>
      <c r="J171" t="s">
        <v>107</v>
      </c>
      <c r="K171" t="s">
        <v>108</v>
      </c>
      <c r="L171" t="s">
        <v>25</v>
      </c>
      <c r="M171" t="s">
        <v>26</v>
      </c>
      <c r="N171">
        <v>413</v>
      </c>
      <c r="O171">
        <v>33</v>
      </c>
      <c r="P171" t="s">
        <v>29</v>
      </c>
      <c r="Q171" t="s">
        <v>28</v>
      </c>
      <c r="R171" t="s">
        <v>37</v>
      </c>
      <c r="S171" t="s">
        <v>97</v>
      </c>
      <c r="T171">
        <v>3.63</v>
      </c>
      <c r="U171" t="s">
        <v>210</v>
      </c>
    </row>
    <row r="172" spans="1:21">
      <c r="A172">
        <v>346</v>
      </c>
      <c r="B172" t="s">
        <v>206</v>
      </c>
      <c r="C172" t="s">
        <v>207</v>
      </c>
      <c r="D172">
        <v>6</v>
      </c>
      <c r="G172">
        <v>24.8</v>
      </c>
      <c r="H172" t="s">
        <v>21</v>
      </c>
      <c r="I172" t="s">
        <v>22</v>
      </c>
      <c r="J172" t="s">
        <v>107</v>
      </c>
      <c r="K172" t="s">
        <v>108</v>
      </c>
      <c r="L172" t="s">
        <v>25</v>
      </c>
      <c r="M172" t="s">
        <v>26</v>
      </c>
      <c r="N172">
        <v>419</v>
      </c>
      <c r="O172">
        <v>22</v>
      </c>
      <c r="P172" t="s">
        <v>27</v>
      </c>
      <c r="Q172" t="s">
        <v>42</v>
      </c>
      <c r="R172" t="s">
        <v>37</v>
      </c>
      <c r="S172" t="s">
        <v>29</v>
      </c>
      <c r="T172">
        <v>3.67</v>
      </c>
      <c r="U172" t="s">
        <v>39</v>
      </c>
    </row>
    <row r="173" spans="1:21">
      <c r="A173">
        <v>40</v>
      </c>
      <c r="B173" t="s">
        <v>204</v>
      </c>
      <c r="C173" t="s">
        <v>205</v>
      </c>
      <c r="D173">
        <v>7.7</v>
      </c>
      <c r="G173">
        <v>40.4</v>
      </c>
      <c r="H173" t="s">
        <v>21</v>
      </c>
      <c r="I173" t="s">
        <v>158</v>
      </c>
      <c r="J173" t="s">
        <v>35</v>
      </c>
      <c r="K173" t="s">
        <v>36</v>
      </c>
      <c r="L173" t="s">
        <v>25</v>
      </c>
      <c r="M173" t="s">
        <v>26</v>
      </c>
      <c r="N173">
        <v>437</v>
      </c>
      <c r="O173">
        <v>29</v>
      </c>
      <c r="P173" t="s">
        <v>37</v>
      </c>
      <c r="Q173" t="s">
        <v>42</v>
      </c>
      <c r="R173" t="s">
        <v>28</v>
      </c>
      <c r="S173" t="s">
        <v>27</v>
      </c>
      <c r="T173">
        <v>3.77</v>
      </c>
      <c r="U173" t="s">
        <v>146</v>
      </c>
    </row>
    <row r="174" spans="1:21">
      <c r="A174">
        <v>237</v>
      </c>
      <c r="B174" t="s">
        <v>202</v>
      </c>
      <c r="C174" t="s">
        <v>203</v>
      </c>
      <c r="D174">
        <v>5.8</v>
      </c>
      <c r="G174">
        <v>6.7</v>
      </c>
      <c r="H174" t="s">
        <v>21</v>
      </c>
      <c r="I174" t="s">
        <v>54</v>
      </c>
      <c r="J174" t="s">
        <v>35</v>
      </c>
      <c r="K174" t="s">
        <v>36</v>
      </c>
      <c r="L174" t="s">
        <v>25</v>
      </c>
      <c r="M174" t="s">
        <v>26</v>
      </c>
      <c r="N174">
        <v>385</v>
      </c>
      <c r="O174">
        <v>22</v>
      </c>
      <c r="P174" t="s">
        <v>28</v>
      </c>
      <c r="Q174" t="s">
        <v>27</v>
      </c>
      <c r="R174" t="s">
        <v>27</v>
      </c>
      <c r="S174" t="s">
        <v>42</v>
      </c>
      <c r="T174">
        <v>3.79</v>
      </c>
      <c r="U174" t="s">
        <v>39</v>
      </c>
    </row>
    <row r="175" spans="1:21">
      <c r="A175">
        <v>588</v>
      </c>
      <c r="B175" t="s">
        <v>198</v>
      </c>
      <c r="C175" t="s">
        <v>199</v>
      </c>
      <c r="D175">
        <v>5</v>
      </c>
      <c r="G175">
        <v>0.3</v>
      </c>
      <c r="H175" t="s">
        <v>21</v>
      </c>
      <c r="I175" t="s">
        <v>91</v>
      </c>
      <c r="J175" t="s">
        <v>23</v>
      </c>
      <c r="K175" t="s">
        <v>24</v>
      </c>
      <c r="L175" t="s">
        <v>25</v>
      </c>
      <c r="M175" t="s">
        <v>26</v>
      </c>
      <c r="N175">
        <v>379</v>
      </c>
      <c r="O175">
        <v>19</v>
      </c>
      <c r="P175" t="s">
        <v>42</v>
      </c>
      <c r="Q175" t="s">
        <v>28</v>
      </c>
      <c r="R175" t="s">
        <v>42</v>
      </c>
      <c r="S175" t="s">
        <v>28</v>
      </c>
      <c r="T175">
        <v>3.8</v>
      </c>
      <c r="U175" t="s">
        <v>39</v>
      </c>
    </row>
    <row r="176" spans="1:21">
      <c r="A176">
        <v>469</v>
      </c>
      <c r="B176" t="s">
        <v>200</v>
      </c>
      <c r="C176" t="s">
        <v>201</v>
      </c>
      <c r="D176">
        <v>5</v>
      </c>
      <c r="G176">
        <v>8.8000000000000007</v>
      </c>
      <c r="H176" t="s">
        <v>21</v>
      </c>
      <c r="I176" t="s">
        <v>170</v>
      </c>
      <c r="J176" t="s">
        <v>23</v>
      </c>
      <c r="K176" t="s">
        <v>24</v>
      </c>
      <c r="L176" t="s">
        <v>25</v>
      </c>
      <c r="M176" t="s">
        <v>26</v>
      </c>
      <c r="N176">
        <v>450</v>
      </c>
      <c r="O176">
        <v>19</v>
      </c>
      <c r="P176" t="s">
        <v>28</v>
      </c>
      <c r="Q176" t="s">
        <v>42</v>
      </c>
      <c r="R176" t="s">
        <v>42</v>
      </c>
      <c r="S176" t="s">
        <v>42</v>
      </c>
      <c r="T176">
        <v>3.8</v>
      </c>
      <c r="U176" t="s">
        <v>39</v>
      </c>
    </row>
    <row r="177" spans="1:21">
      <c r="A177">
        <v>10</v>
      </c>
      <c r="B177" t="s">
        <v>194</v>
      </c>
      <c r="C177" t="s">
        <v>195</v>
      </c>
      <c r="D177">
        <v>5.5</v>
      </c>
      <c r="G177">
        <v>4.9000000000000004</v>
      </c>
      <c r="H177" t="s">
        <v>125</v>
      </c>
      <c r="I177" t="s">
        <v>104</v>
      </c>
      <c r="J177" t="s">
        <v>23</v>
      </c>
      <c r="K177" t="s">
        <v>24</v>
      </c>
      <c r="L177" t="s">
        <v>25</v>
      </c>
      <c r="M177" t="s">
        <v>29</v>
      </c>
      <c r="N177">
        <v>315</v>
      </c>
      <c r="O177">
        <v>21</v>
      </c>
      <c r="P177" t="s">
        <v>28</v>
      </c>
      <c r="Q177" t="s">
        <v>42</v>
      </c>
      <c r="R177" t="s">
        <v>27</v>
      </c>
      <c r="S177" t="s">
        <v>37</v>
      </c>
      <c r="T177">
        <v>3.82</v>
      </c>
      <c r="U177" t="s">
        <v>39</v>
      </c>
    </row>
    <row r="178" spans="1:21">
      <c r="A178">
        <v>544</v>
      </c>
      <c r="B178" t="s">
        <v>196</v>
      </c>
      <c r="C178" t="s">
        <v>197</v>
      </c>
      <c r="D178">
        <v>5.5</v>
      </c>
      <c r="G178">
        <v>3.6</v>
      </c>
      <c r="H178" t="s">
        <v>21</v>
      </c>
      <c r="I178" t="s">
        <v>165</v>
      </c>
      <c r="J178" t="s">
        <v>35</v>
      </c>
      <c r="K178" t="s">
        <v>36</v>
      </c>
      <c r="L178" t="s">
        <v>25</v>
      </c>
      <c r="M178" t="s">
        <v>26</v>
      </c>
      <c r="N178">
        <v>450</v>
      </c>
      <c r="O178">
        <v>21</v>
      </c>
      <c r="P178" t="s">
        <v>28</v>
      </c>
      <c r="Q178" t="s">
        <v>42</v>
      </c>
      <c r="R178" t="s">
        <v>42</v>
      </c>
      <c r="S178" t="s">
        <v>26</v>
      </c>
      <c r="T178">
        <v>3.82</v>
      </c>
      <c r="U178" t="s">
        <v>39</v>
      </c>
    </row>
    <row r="179" spans="1:21">
      <c r="A179">
        <v>356</v>
      </c>
      <c r="B179" t="s">
        <v>192</v>
      </c>
      <c r="C179" t="s">
        <v>193</v>
      </c>
      <c r="D179">
        <v>6.5</v>
      </c>
      <c r="G179">
        <v>16.2</v>
      </c>
      <c r="H179" t="s">
        <v>21</v>
      </c>
      <c r="I179" t="s">
        <v>117</v>
      </c>
      <c r="J179" t="s">
        <v>23</v>
      </c>
      <c r="K179" t="s">
        <v>24</v>
      </c>
      <c r="L179" t="s">
        <v>25</v>
      </c>
      <c r="M179" t="s">
        <v>26</v>
      </c>
      <c r="N179">
        <v>450</v>
      </c>
      <c r="O179">
        <v>25</v>
      </c>
      <c r="P179" t="s">
        <v>28</v>
      </c>
      <c r="Q179" t="s">
        <v>28</v>
      </c>
      <c r="R179" t="s">
        <v>37</v>
      </c>
      <c r="S179" t="s">
        <v>28</v>
      </c>
      <c r="T179">
        <v>3.85</v>
      </c>
      <c r="U179" t="s">
        <v>39</v>
      </c>
    </row>
    <row r="180" spans="1:21">
      <c r="A180">
        <v>502</v>
      </c>
      <c r="B180" t="s">
        <v>190</v>
      </c>
      <c r="C180" t="s">
        <v>191</v>
      </c>
      <c r="D180">
        <v>4.4000000000000004</v>
      </c>
      <c r="G180">
        <v>2.5</v>
      </c>
      <c r="H180" t="s">
        <v>21</v>
      </c>
      <c r="I180" t="s">
        <v>122</v>
      </c>
      <c r="J180" t="s">
        <v>23</v>
      </c>
      <c r="K180" t="s">
        <v>24</v>
      </c>
      <c r="L180" t="s">
        <v>25</v>
      </c>
      <c r="M180" t="s">
        <v>26</v>
      </c>
      <c r="N180">
        <v>366</v>
      </c>
      <c r="O180">
        <v>17</v>
      </c>
      <c r="P180" t="s">
        <v>28</v>
      </c>
      <c r="Q180" t="s">
        <v>42</v>
      </c>
      <c r="R180" t="s">
        <v>42</v>
      </c>
      <c r="S180" t="s">
        <v>42</v>
      </c>
      <c r="T180">
        <v>3.86</v>
      </c>
      <c r="U180" t="s">
        <v>31</v>
      </c>
    </row>
    <row r="181" spans="1:21">
      <c r="A181">
        <v>338</v>
      </c>
      <c r="B181" t="s">
        <v>188</v>
      </c>
      <c r="C181" t="s">
        <v>189</v>
      </c>
      <c r="D181">
        <v>5.4</v>
      </c>
      <c r="G181">
        <v>0.9</v>
      </c>
      <c r="H181" t="s">
        <v>21</v>
      </c>
      <c r="I181" t="s">
        <v>22</v>
      </c>
      <c r="J181" t="s">
        <v>35</v>
      </c>
      <c r="K181" t="s">
        <v>36</v>
      </c>
      <c r="L181" t="s">
        <v>25</v>
      </c>
      <c r="M181" t="s">
        <v>26</v>
      </c>
      <c r="N181">
        <v>450</v>
      </c>
      <c r="O181">
        <v>21</v>
      </c>
      <c r="P181" t="s">
        <v>28</v>
      </c>
      <c r="Q181" t="s">
        <v>42</v>
      </c>
      <c r="R181" t="s">
        <v>27</v>
      </c>
      <c r="S181" t="s">
        <v>28</v>
      </c>
      <c r="T181">
        <v>3.89</v>
      </c>
      <c r="U181" t="s">
        <v>39</v>
      </c>
    </row>
    <row r="182" spans="1:21">
      <c r="A182">
        <v>397</v>
      </c>
      <c r="B182" t="s">
        <v>186</v>
      </c>
      <c r="C182" t="s">
        <v>187</v>
      </c>
      <c r="D182">
        <v>8.4</v>
      </c>
      <c r="G182">
        <v>15.4</v>
      </c>
      <c r="H182" t="s">
        <v>125</v>
      </c>
      <c r="I182" t="s">
        <v>54</v>
      </c>
      <c r="J182" t="s">
        <v>35</v>
      </c>
      <c r="K182" t="s">
        <v>36</v>
      </c>
      <c r="L182" t="s">
        <v>25</v>
      </c>
      <c r="M182" t="s">
        <v>26</v>
      </c>
      <c r="N182">
        <v>450</v>
      </c>
      <c r="O182">
        <v>33</v>
      </c>
      <c r="P182" t="s">
        <v>27</v>
      </c>
      <c r="Q182" t="s">
        <v>37</v>
      </c>
      <c r="R182" t="s">
        <v>27</v>
      </c>
      <c r="S182" t="s">
        <v>27</v>
      </c>
      <c r="T182">
        <v>3.93</v>
      </c>
      <c r="U182" t="s">
        <v>146</v>
      </c>
    </row>
    <row r="183" spans="1:21">
      <c r="A183">
        <v>565</v>
      </c>
      <c r="B183" t="s">
        <v>184</v>
      </c>
      <c r="C183" t="s">
        <v>185</v>
      </c>
      <c r="D183">
        <v>5.6</v>
      </c>
      <c r="G183">
        <v>10</v>
      </c>
      <c r="H183" t="s">
        <v>21</v>
      </c>
      <c r="I183" t="s">
        <v>63</v>
      </c>
      <c r="J183" t="s">
        <v>35</v>
      </c>
      <c r="K183" t="s">
        <v>36</v>
      </c>
      <c r="L183" t="s">
        <v>25</v>
      </c>
      <c r="M183" t="s">
        <v>26</v>
      </c>
      <c r="N183">
        <v>321</v>
      </c>
      <c r="O183">
        <v>22</v>
      </c>
      <c r="P183" t="s">
        <v>28</v>
      </c>
      <c r="Q183" t="s">
        <v>27</v>
      </c>
      <c r="R183" t="s">
        <v>42</v>
      </c>
      <c r="S183" t="s">
        <v>37</v>
      </c>
      <c r="T183">
        <v>3.93</v>
      </c>
      <c r="U183" t="s">
        <v>39</v>
      </c>
    </row>
    <row r="184" spans="1:21">
      <c r="A184">
        <v>86</v>
      </c>
      <c r="B184" t="s">
        <v>182</v>
      </c>
      <c r="C184" t="s">
        <v>183</v>
      </c>
      <c r="D184">
        <v>5.5</v>
      </c>
      <c r="G184">
        <v>1.7</v>
      </c>
      <c r="H184" t="s">
        <v>21</v>
      </c>
      <c r="I184" t="s">
        <v>63</v>
      </c>
      <c r="J184" t="s">
        <v>35</v>
      </c>
      <c r="K184" t="s">
        <v>36</v>
      </c>
      <c r="L184" t="s">
        <v>25</v>
      </c>
      <c r="M184" t="s">
        <v>26</v>
      </c>
      <c r="N184">
        <v>406</v>
      </c>
      <c r="O184">
        <v>22</v>
      </c>
      <c r="P184" t="s">
        <v>42</v>
      </c>
      <c r="Q184" t="s">
        <v>42</v>
      </c>
      <c r="R184" t="s">
        <v>27</v>
      </c>
      <c r="S184" t="s">
        <v>37</v>
      </c>
      <c r="T184">
        <v>4</v>
      </c>
      <c r="U184" t="s">
        <v>39</v>
      </c>
    </row>
    <row r="185" spans="1:21">
      <c r="A185">
        <v>432</v>
      </c>
      <c r="B185" t="s">
        <v>175</v>
      </c>
      <c r="C185" t="s">
        <v>176</v>
      </c>
      <c r="D185">
        <v>5.5</v>
      </c>
      <c r="G185">
        <v>1.6</v>
      </c>
      <c r="H185" t="s">
        <v>125</v>
      </c>
      <c r="I185" t="s">
        <v>177</v>
      </c>
      <c r="J185" t="s">
        <v>35</v>
      </c>
      <c r="K185" t="s">
        <v>36</v>
      </c>
      <c r="L185" t="s">
        <v>25</v>
      </c>
      <c r="M185" t="s">
        <v>26</v>
      </c>
      <c r="N185">
        <v>354</v>
      </c>
      <c r="O185">
        <v>22</v>
      </c>
      <c r="P185" t="s">
        <v>28</v>
      </c>
      <c r="Q185" t="s">
        <v>42</v>
      </c>
      <c r="R185" t="s">
        <v>28</v>
      </c>
      <c r="S185" t="s">
        <v>27</v>
      </c>
      <c r="T185">
        <v>4</v>
      </c>
      <c r="U185" t="s">
        <v>39</v>
      </c>
    </row>
    <row r="186" spans="1:21">
      <c r="A186">
        <v>82</v>
      </c>
      <c r="B186" t="s">
        <v>180</v>
      </c>
      <c r="C186" t="s">
        <v>181</v>
      </c>
      <c r="D186">
        <v>5</v>
      </c>
      <c r="G186">
        <v>6.1</v>
      </c>
      <c r="H186" t="s">
        <v>21</v>
      </c>
      <c r="I186" t="s">
        <v>63</v>
      </c>
      <c r="J186" t="s">
        <v>46</v>
      </c>
      <c r="K186" t="s">
        <v>47</v>
      </c>
      <c r="L186" t="s">
        <v>25</v>
      </c>
      <c r="M186" t="s">
        <v>26</v>
      </c>
      <c r="N186">
        <v>450</v>
      </c>
      <c r="O186">
        <v>20</v>
      </c>
      <c r="P186" t="s">
        <v>28</v>
      </c>
      <c r="Q186" t="s">
        <v>28</v>
      </c>
      <c r="R186" t="s">
        <v>27</v>
      </c>
      <c r="S186" t="s">
        <v>28</v>
      </c>
      <c r="T186">
        <v>4</v>
      </c>
      <c r="U186" t="s">
        <v>39</v>
      </c>
    </row>
    <row r="187" spans="1:21">
      <c r="A187">
        <v>496</v>
      </c>
      <c r="B187" t="s">
        <v>173</v>
      </c>
      <c r="C187" t="s">
        <v>174</v>
      </c>
      <c r="D187">
        <v>4.5</v>
      </c>
      <c r="G187">
        <v>17.3</v>
      </c>
      <c r="H187" t="s">
        <v>21</v>
      </c>
      <c r="I187" t="s">
        <v>122</v>
      </c>
      <c r="J187" t="s">
        <v>46</v>
      </c>
      <c r="K187" t="s">
        <v>47</v>
      </c>
      <c r="L187" t="s">
        <v>25</v>
      </c>
      <c r="M187" t="s">
        <v>26</v>
      </c>
      <c r="N187">
        <v>450</v>
      </c>
      <c r="O187">
        <v>18</v>
      </c>
      <c r="P187" t="s">
        <v>28</v>
      </c>
      <c r="Q187" t="s">
        <v>28</v>
      </c>
      <c r="R187" t="s">
        <v>27</v>
      </c>
      <c r="S187" t="s">
        <v>28</v>
      </c>
      <c r="T187">
        <v>4</v>
      </c>
      <c r="U187" t="s">
        <v>31</v>
      </c>
    </row>
    <row r="188" spans="1:21">
      <c r="A188">
        <v>250</v>
      </c>
      <c r="B188" t="s">
        <v>178</v>
      </c>
      <c r="C188" t="s">
        <v>179</v>
      </c>
      <c r="D188">
        <v>4.5</v>
      </c>
      <c r="G188">
        <v>3.3</v>
      </c>
      <c r="H188" t="s">
        <v>21</v>
      </c>
      <c r="I188" t="s">
        <v>149</v>
      </c>
      <c r="J188" t="s">
        <v>46</v>
      </c>
      <c r="K188" t="s">
        <v>47</v>
      </c>
      <c r="L188" t="s">
        <v>25</v>
      </c>
      <c r="M188" t="s">
        <v>26</v>
      </c>
      <c r="N188">
        <v>450</v>
      </c>
      <c r="O188">
        <v>18</v>
      </c>
      <c r="P188" t="s">
        <v>28</v>
      </c>
      <c r="Q188" t="s">
        <v>28</v>
      </c>
      <c r="R188" t="s">
        <v>42</v>
      </c>
      <c r="S188" t="s">
        <v>27</v>
      </c>
      <c r="T188">
        <v>4</v>
      </c>
      <c r="U188" t="s">
        <v>31</v>
      </c>
    </row>
    <row r="189" spans="1:21">
      <c r="A189">
        <v>579</v>
      </c>
      <c r="B189" t="s">
        <v>171</v>
      </c>
      <c r="C189" t="s">
        <v>172</v>
      </c>
      <c r="D189">
        <v>5.4</v>
      </c>
      <c r="G189">
        <v>3</v>
      </c>
      <c r="H189" t="s">
        <v>21</v>
      </c>
      <c r="I189" t="s">
        <v>117</v>
      </c>
      <c r="J189" t="s">
        <v>23</v>
      </c>
      <c r="K189" t="s">
        <v>24</v>
      </c>
      <c r="L189" t="s">
        <v>25</v>
      </c>
      <c r="M189" t="s">
        <v>26</v>
      </c>
      <c r="N189">
        <v>284</v>
      </c>
      <c r="O189">
        <v>22</v>
      </c>
      <c r="P189" t="s">
        <v>28</v>
      </c>
      <c r="Q189" t="s">
        <v>28</v>
      </c>
      <c r="R189" t="s">
        <v>37</v>
      </c>
      <c r="S189" t="s">
        <v>42</v>
      </c>
      <c r="T189">
        <v>4.07</v>
      </c>
      <c r="U189" t="s">
        <v>39</v>
      </c>
    </row>
    <row r="190" spans="1:21">
      <c r="A190">
        <v>472</v>
      </c>
      <c r="B190" t="s">
        <v>168</v>
      </c>
      <c r="C190" t="s">
        <v>169</v>
      </c>
      <c r="D190">
        <v>5.5</v>
      </c>
      <c r="G190">
        <v>2.1</v>
      </c>
      <c r="H190" t="s">
        <v>21</v>
      </c>
      <c r="I190" t="s">
        <v>170</v>
      </c>
      <c r="J190" t="s">
        <v>23</v>
      </c>
      <c r="K190" t="s">
        <v>24</v>
      </c>
      <c r="L190" t="s">
        <v>25</v>
      </c>
      <c r="M190" t="s">
        <v>26</v>
      </c>
      <c r="N190">
        <v>449</v>
      </c>
      <c r="O190">
        <v>23</v>
      </c>
      <c r="P190" t="s">
        <v>28</v>
      </c>
      <c r="Q190" t="s">
        <v>42</v>
      </c>
      <c r="R190" t="s">
        <v>42</v>
      </c>
      <c r="S190" t="s">
        <v>28</v>
      </c>
      <c r="T190">
        <v>4.18</v>
      </c>
      <c r="U190" t="s">
        <v>39</v>
      </c>
    </row>
    <row r="191" spans="1:21">
      <c r="A191">
        <v>214</v>
      </c>
      <c r="B191" t="s">
        <v>166</v>
      </c>
      <c r="C191" t="s">
        <v>167</v>
      </c>
      <c r="D191">
        <v>5</v>
      </c>
      <c r="G191">
        <v>0.5</v>
      </c>
      <c r="H191" t="s">
        <v>21</v>
      </c>
      <c r="I191" t="s">
        <v>91</v>
      </c>
      <c r="J191" t="s">
        <v>35</v>
      </c>
      <c r="K191" t="s">
        <v>36</v>
      </c>
      <c r="L191" t="s">
        <v>25</v>
      </c>
      <c r="M191" t="s">
        <v>26</v>
      </c>
      <c r="N191">
        <v>441</v>
      </c>
      <c r="O191">
        <v>21</v>
      </c>
      <c r="P191" t="s">
        <v>28</v>
      </c>
      <c r="Q191" t="s">
        <v>37</v>
      </c>
      <c r="R191" t="s">
        <v>42</v>
      </c>
      <c r="S191" t="s">
        <v>28</v>
      </c>
      <c r="T191">
        <v>4.2</v>
      </c>
      <c r="U191" t="s">
        <v>39</v>
      </c>
    </row>
    <row r="192" spans="1:21">
      <c r="A192">
        <v>552</v>
      </c>
      <c r="B192" t="s">
        <v>163</v>
      </c>
      <c r="C192" t="s">
        <v>164</v>
      </c>
      <c r="D192">
        <v>5.7</v>
      </c>
      <c r="G192">
        <v>7</v>
      </c>
      <c r="H192" t="s">
        <v>125</v>
      </c>
      <c r="I192" t="s">
        <v>165</v>
      </c>
      <c r="J192" t="s">
        <v>107</v>
      </c>
      <c r="K192" t="s">
        <v>108</v>
      </c>
      <c r="L192" t="s">
        <v>25</v>
      </c>
      <c r="M192" t="s">
        <v>26</v>
      </c>
      <c r="N192">
        <v>399</v>
      </c>
      <c r="O192">
        <v>24</v>
      </c>
      <c r="P192" t="s">
        <v>37</v>
      </c>
      <c r="Q192" t="s">
        <v>28</v>
      </c>
      <c r="R192" t="s">
        <v>42</v>
      </c>
      <c r="S192" t="s">
        <v>37</v>
      </c>
      <c r="T192">
        <v>4.21</v>
      </c>
      <c r="U192" t="s">
        <v>39</v>
      </c>
    </row>
    <row r="193" spans="1:21">
      <c r="A193">
        <v>114</v>
      </c>
      <c r="B193" t="s">
        <v>161</v>
      </c>
      <c r="C193" t="s">
        <v>162</v>
      </c>
      <c r="D193">
        <v>4.5</v>
      </c>
      <c r="G193">
        <v>0.3</v>
      </c>
      <c r="H193" t="s">
        <v>21</v>
      </c>
      <c r="I193" t="s">
        <v>34</v>
      </c>
      <c r="J193" t="s">
        <v>23</v>
      </c>
      <c r="K193" t="s">
        <v>24</v>
      </c>
      <c r="L193" t="s">
        <v>25</v>
      </c>
      <c r="M193" t="s">
        <v>26</v>
      </c>
      <c r="N193">
        <v>437</v>
      </c>
      <c r="O193">
        <v>19</v>
      </c>
      <c r="P193" t="s">
        <v>28</v>
      </c>
      <c r="Q193" t="s">
        <v>28</v>
      </c>
      <c r="R193" t="s">
        <v>37</v>
      </c>
      <c r="S193" t="s">
        <v>28</v>
      </c>
      <c r="T193">
        <v>4.22</v>
      </c>
      <c r="U193" t="s">
        <v>31</v>
      </c>
    </row>
    <row r="194" spans="1:21">
      <c r="A194">
        <v>15</v>
      </c>
      <c r="B194" t="s">
        <v>159</v>
      </c>
      <c r="C194" t="s">
        <v>160</v>
      </c>
      <c r="D194">
        <v>6.8</v>
      </c>
      <c r="G194">
        <v>19.8</v>
      </c>
      <c r="H194" t="s">
        <v>21</v>
      </c>
      <c r="I194" t="s">
        <v>104</v>
      </c>
      <c r="J194" t="s">
        <v>35</v>
      </c>
      <c r="K194" t="s">
        <v>36</v>
      </c>
      <c r="L194" t="s">
        <v>25</v>
      </c>
      <c r="M194" t="s">
        <v>26</v>
      </c>
      <c r="N194">
        <v>377</v>
      </c>
      <c r="O194">
        <v>29</v>
      </c>
      <c r="P194" t="s">
        <v>27</v>
      </c>
      <c r="Q194" t="s">
        <v>28</v>
      </c>
      <c r="R194" t="s">
        <v>37</v>
      </c>
      <c r="S194" t="s">
        <v>30</v>
      </c>
      <c r="T194">
        <v>4.26</v>
      </c>
      <c r="U194" t="s">
        <v>39</v>
      </c>
    </row>
    <row r="195" spans="1:21">
      <c r="A195">
        <v>165</v>
      </c>
      <c r="B195" t="s">
        <v>156</v>
      </c>
      <c r="C195" t="s">
        <v>157</v>
      </c>
      <c r="D195">
        <v>7.7</v>
      </c>
      <c r="G195">
        <v>65.3</v>
      </c>
      <c r="H195" t="s">
        <v>125</v>
      </c>
      <c r="I195" t="s">
        <v>158</v>
      </c>
      <c r="J195" t="s">
        <v>107</v>
      </c>
      <c r="K195" t="s">
        <v>108</v>
      </c>
      <c r="L195" t="s">
        <v>25</v>
      </c>
      <c r="M195" t="s">
        <v>29</v>
      </c>
      <c r="N195">
        <v>360</v>
      </c>
      <c r="O195">
        <v>33</v>
      </c>
      <c r="P195" t="s">
        <v>37</v>
      </c>
      <c r="Q195" t="s">
        <v>37</v>
      </c>
      <c r="R195" t="s">
        <v>28</v>
      </c>
      <c r="S195" t="s">
        <v>51</v>
      </c>
      <c r="T195">
        <v>4.29</v>
      </c>
      <c r="U195" t="s">
        <v>146</v>
      </c>
    </row>
    <row r="196" spans="1:21">
      <c r="A196">
        <v>399</v>
      </c>
      <c r="B196" t="s">
        <v>152</v>
      </c>
      <c r="C196" t="s">
        <v>153</v>
      </c>
      <c r="D196">
        <v>7.8</v>
      </c>
      <c r="G196">
        <v>28.4</v>
      </c>
      <c r="H196" t="s">
        <v>21</v>
      </c>
      <c r="I196" t="s">
        <v>54</v>
      </c>
      <c r="J196" t="s">
        <v>35</v>
      </c>
      <c r="K196" t="s">
        <v>36</v>
      </c>
      <c r="L196" t="s">
        <v>25</v>
      </c>
      <c r="M196" t="s">
        <v>26</v>
      </c>
      <c r="N196">
        <v>302</v>
      </c>
      <c r="O196">
        <v>34</v>
      </c>
      <c r="P196" t="s">
        <v>37</v>
      </c>
      <c r="Q196" t="s">
        <v>27</v>
      </c>
      <c r="R196" t="s">
        <v>42</v>
      </c>
      <c r="S196" t="s">
        <v>26</v>
      </c>
      <c r="T196">
        <v>4.3600000000000003</v>
      </c>
      <c r="U196" t="s">
        <v>146</v>
      </c>
    </row>
    <row r="197" spans="1:21">
      <c r="A197">
        <v>268</v>
      </c>
      <c r="B197" t="s">
        <v>154</v>
      </c>
      <c r="C197" t="s">
        <v>155</v>
      </c>
      <c r="D197">
        <v>5.5</v>
      </c>
      <c r="G197">
        <v>2.5</v>
      </c>
      <c r="H197" t="s">
        <v>21</v>
      </c>
      <c r="I197" t="s">
        <v>149</v>
      </c>
      <c r="J197" t="s">
        <v>35</v>
      </c>
      <c r="K197" t="s">
        <v>36</v>
      </c>
      <c r="L197" t="s">
        <v>25</v>
      </c>
      <c r="M197" t="s">
        <v>26</v>
      </c>
      <c r="N197">
        <v>425</v>
      </c>
      <c r="O197">
        <v>24</v>
      </c>
      <c r="P197" t="s">
        <v>27</v>
      </c>
      <c r="Q197" t="s">
        <v>28</v>
      </c>
      <c r="R197" t="s">
        <v>27</v>
      </c>
      <c r="S197" t="s">
        <v>37</v>
      </c>
      <c r="T197">
        <v>4.3600000000000003</v>
      </c>
      <c r="U197" t="s">
        <v>39</v>
      </c>
    </row>
    <row r="198" spans="1:21">
      <c r="A198">
        <v>460</v>
      </c>
      <c r="B198" t="s">
        <v>150</v>
      </c>
      <c r="C198" t="s">
        <v>151</v>
      </c>
      <c r="D198">
        <v>5</v>
      </c>
      <c r="G198">
        <v>0.6</v>
      </c>
      <c r="H198" t="s">
        <v>21</v>
      </c>
      <c r="I198" t="s">
        <v>80</v>
      </c>
      <c r="J198" t="s">
        <v>35</v>
      </c>
      <c r="K198" t="s">
        <v>36</v>
      </c>
      <c r="L198" t="s">
        <v>25</v>
      </c>
      <c r="M198" t="s">
        <v>26</v>
      </c>
      <c r="N198">
        <v>284</v>
      </c>
      <c r="O198">
        <v>22</v>
      </c>
      <c r="P198" t="s">
        <v>27</v>
      </c>
      <c r="Q198" t="s">
        <v>28</v>
      </c>
      <c r="R198" t="s">
        <v>42</v>
      </c>
      <c r="S198" t="s">
        <v>37</v>
      </c>
      <c r="T198">
        <v>4.4000000000000004</v>
      </c>
      <c r="U198" t="s">
        <v>39</v>
      </c>
    </row>
    <row r="199" spans="1:21">
      <c r="A199">
        <v>367</v>
      </c>
      <c r="B199" t="s">
        <v>144</v>
      </c>
      <c r="C199" t="s">
        <v>145</v>
      </c>
      <c r="D199">
        <v>7.2</v>
      </c>
      <c r="G199">
        <v>12.6</v>
      </c>
      <c r="H199" t="s">
        <v>21</v>
      </c>
      <c r="I199" t="s">
        <v>117</v>
      </c>
      <c r="J199" t="s">
        <v>35</v>
      </c>
      <c r="K199" t="s">
        <v>36</v>
      </c>
      <c r="L199" t="s">
        <v>25</v>
      </c>
      <c r="M199" t="s">
        <v>26</v>
      </c>
      <c r="N199">
        <v>370</v>
      </c>
      <c r="O199">
        <v>32</v>
      </c>
      <c r="P199" t="s">
        <v>42</v>
      </c>
      <c r="Q199" t="s">
        <v>37</v>
      </c>
      <c r="R199" t="s">
        <v>27</v>
      </c>
      <c r="S199" t="s">
        <v>26</v>
      </c>
      <c r="T199">
        <v>4.4400000000000004</v>
      </c>
      <c r="U199" t="s">
        <v>146</v>
      </c>
    </row>
    <row r="200" spans="1:21">
      <c r="A200">
        <v>258</v>
      </c>
      <c r="B200" t="s">
        <v>147</v>
      </c>
      <c r="C200" t="s">
        <v>148</v>
      </c>
      <c r="D200">
        <v>4.5</v>
      </c>
      <c r="G200">
        <v>0.9</v>
      </c>
      <c r="H200" t="s">
        <v>21</v>
      </c>
      <c r="I200" t="s">
        <v>149</v>
      </c>
      <c r="J200" t="s">
        <v>23</v>
      </c>
      <c r="K200" t="s">
        <v>24</v>
      </c>
      <c r="L200" t="s">
        <v>25</v>
      </c>
      <c r="M200" t="s">
        <v>26</v>
      </c>
      <c r="N200">
        <v>408</v>
      </c>
      <c r="O200">
        <v>20</v>
      </c>
      <c r="P200" t="s">
        <v>28</v>
      </c>
      <c r="Q200" t="s">
        <v>27</v>
      </c>
      <c r="R200" t="s">
        <v>27</v>
      </c>
      <c r="S200" t="s">
        <v>28</v>
      </c>
      <c r="T200">
        <v>4.4400000000000004</v>
      </c>
      <c r="U200" t="s">
        <v>31</v>
      </c>
    </row>
    <row r="201" spans="1:21">
      <c r="A201">
        <v>605</v>
      </c>
      <c r="B201" t="s">
        <v>142</v>
      </c>
      <c r="C201" t="s">
        <v>143</v>
      </c>
      <c r="D201">
        <v>4.5</v>
      </c>
      <c r="G201">
        <v>4</v>
      </c>
      <c r="H201" t="s">
        <v>21</v>
      </c>
      <c r="I201" t="s">
        <v>34</v>
      </c>
      <c r="J201" t="s">
        <v>35</v>
      </c>
      <c r="K201" t="s">
        <v>36</v>
      </c>
      <c r="L201" t="s">
        <v>25</v>
      </c>
      <c r="M201" t="s">
        <v>26</v>
      </c>
      <c r="N201">
        <v>236</v>
      </c>
      <c r="O201">
        <v>20</v>
      </c>
      <c r="P201" t="s">
        <v>27</v>
      </c>
      <c r="Q201" t="s">
        <v>28</v>
      </c>
      <c r="R201" t="s">
        <v>42</v>
      </c>
      <c r="S201" t="s">
        <v>42</v>
      </c>
      <c r="T201">
        <v>4.4400000000000004</v>
      </c>
      <c r="U201" t="s">
        <v>31</v>
      </c>
    </row>
    <row r="202" spans="1:21">
      <c r="A202">
        <v>335</v>
      </c>
      <c r="B202" t="s">
        <v>140</v>
      </c>
      <c r="C202" t="s">
        <v>141</v>
      </c>
      <c r="D202">
        <v>6</v>
      </c>
      <c r="G202">
        <v>2.5</v>
      </c>
      <c r="H202" t="s">
        <v>21</v>
      </c>
      <c r="I202" t="s">
        <v>22</v>
      </c>
      <c r="J202" t="s">
        <v>35</v>
      </c>
      <c r="K202" t="s">
        <v>36</v>
      </c>
      <c r="L202" t="s">
        <v>25</v>
      </c>
      <c r="M202" t="s">
        <v>26</v>
      </c>
      <c r="N202">
        <v>447</v>
      </c>
      <c r="O202">
        <v>27</v>
      </c>
      <c r="P202" t="s">
        <v>42</v>
      </c>
      <c r="Q202" t="s">
        <v>28</v>
      </c>
      <c r="R202" t="s">
        <v>37</v>
      </c>
      <c r="S202" t="s">
        <v>37</v>
      </c>
      <c r="T202">
        <v>4.5</v>
      </c>
      <c r="U202" t="s">
        <v>39</v>
      </c>
    </row>
    <row r="203" spans="1:21">
      <c r="A203">
        <v>226</v>
      </c>
      <c r="B203" t="s">
        <v>138</v>
      </c>
      <c r="C203" t="s">
        <v>139</v>
      </c>
      <c r="D203">
        <v>5.5</v>
      </c>
      <c r="G203">
        <v>9.1</v>
      </c>
      <c r="H203" t="s">
        <v>21</v>
      </c>
      <c r="I203" t="s">
        <v>50</v>
      </c>
      <c r="J203" t="s">
        <v>46</v>
      </c>
      <c r="K203" t="s">
        <v>47</v>
      </c>
      <c r="L203" t="s">
        <v>25</v>
      </c>
      <c r="M203" t="s">
        <v>26</v>
      </c>
      <c r="N203">
        <v>450</v>
      </c>
      <c r="O203">
        <v>25</v>
      </c>
      <c r="P203" t="s">
        <v>28</v>
      </c>
      <c r="Q203" t="s">
        <v>28</v>
      </c>
      <c r="R203" t="s">
        <v>37</v>
      </c>
      <c r="S203" t="s">
        <v>42</v>
      </c>
      <c r="T203">
        <v>4.55</v>
      </c>
      <c r="U203" t="s">
        <v>39</v>
      </c>
    </row>
    <row r="204" spans="1:21">
      <c r="A204">
        <v>453</v>
      </c>
      <c r="B204" t="s">
        <v>136</v>
      </c>
      <c r="C204" t="s">
        <v>137</v>
      </c>
      <c r="D204">
        <v>6.1</v>
      </c>
      <c r="G204">
        <v>5.6</v>
      </c>
      <c r="H204" t="s">
        <v>21</v>
      </c>
      <c r="I204" t="s">
        <v>80</v>
      </c>
      <c r="J204" t="s">
        <v>35</v>
      </c>
      <c r="K204" t="s">
        <v>36</v>
      </c>
      <c r="L204" t="s">
        <v>25</v>
      </c>
      <c r="M204" t="s">
        <v>26</v>
      </c>
      <c r="N204">
        <v>450</v>
      </c>
      <c r="O204">
        <v>28</v>
      </c>
      <c r="P204" t="s">
        <v>42</v>
      </c>
      <c r="Q204" t="s">
        <v>37</v>
      </c>
      <c r="R204" t="s">
        <v>42</v>
      </c>
      <c r="S204" t="s">
        <v>37</v>
      </c>
      <c r="T204">
        <v>4.59</v>
      </c>
      <c r="U204" t="s">
        <v>39</v>
      </c>
    </row>
    <row r="205" spans="1:21">
      <c r="A205">
        <v>87</v>
      </c>
      <c r="B205" t="s">
        <v>134</v>
      </c>
      <c r="C205" t="s">
        <v>135</v>
      </c>
      <c r="D205">
        <v>4.5</v>
      </c>
      <c r="G205">
        <v>3.9</v>
      </c>
      <c r="H205" t="s">
        <v>21</v>
      </c>
      <c r="I205" t="s">
        <v>63</v>
      </c>
      <c r="J205" t="s">
        <v>23</v>
      </c>
      <c r="K205" t="s">
        <v>24</v>
      </c>
      <c r="L205" t="s">
        <v>25</v>
      </c>
      <c r="M205" t="s">
        <v>26</v>
      </c>
      <c r="N205">
        <v>450</v>
      </c>
      <c r="O205">
        <v>21</v>
      </c>
      <c r="P205" t="s">
        <v>28</v>
      </c>
      <c r="Q205" t="s">
        <v>28</v>
      </c>
      <c r="R205" t="s">
        <v>27</v>
      </c>
      <c r="S205" t="s">
        <v>42</v>
      </c>
      <c r="T205">
        <v>4.67</v>
      </c>
      <c r="U205" t="s">
        <v>31</v>
      </c>
    </row>
    <row r="206" spans="1:21">
      <c r="A206">
        <v>93</v>
      </c>
      <c r="B206" t="s">
        <v>132</v>
      </c>
      <c r="C206" t="s">
        <v>133</v>
      </c>
      <c r="D206">
        <v>4.5</v>
      </c>
      <c r="G206">
        <v>0.3</v>
      </c>
      <c r="H206" t="s">
        <v>21</v>
      </c>
      <c r="I206" t="s">
        <v>63</v>
      </c>
      <c r="J206" t="s">
        <v>23</v>
      </c>
      <c r="K206" t="s">
        <v>24</v>
      </c>
      <c r="L206" t="s">
        <v>25</v>
      </c>
      <c r="M206" t="s">
        <v>37</v>
      </c>
      <c r="N206">
        <v>253</v>
      </c>
      <c r="O206">
        <v>21</v>
      </c>
      <c r="P206" t="s">
        <v>28</v>
      </c>
      <c r="Q206" t="s">
        <v>42</v>
      </c>
      <c r="R206" t="s">
        <v>42</v>
      </c>
      <c r="S206" t="s">
        <v>37</v>
      </c>
      <c r="T206">
        <v>4.67</v>
      </c>
      <c r="U206" t="s">
        <v>31</v>
      </c>
    </row>
    <row r="207" spans="1:21">
      <c r="A207">
        <v>316</v>
      </c>
      <c r="B207" t="s">
        <v>130</v>
      </c>
      <c r="C207" t="s">
        <v>131</v>
      </c>
      <c r="D207">
        <v>5.5</v>
      </c>
      <c r="G207">
        <v>3.5</v>
      </c>
      <c r="H207" t="s">
        <v>21</v>
      </c>
      <c r="I207" t="s">
        <v>66</v>
      </c>
      <c r="J207" t="s">
        <v>107</v>
      </c>
      <c r="K207" t="s">
        <v>108</v>
      </c>
      <c r="L207" t="s">
        <v>25</v>
      </c>
      <c r="M207" t="s">
        <v>26</v>
      </c>
      <c r="N207">
        <v>317</v>
      </c>
      <c r="O207">
        <v>26</v>
      </c>
      <c r="P207" t="s">
        <v>27</v>
      </c>
      <c r="Q207" t="s">
        <v>42</v>
      </c>
      <c r="R207" t="s">
        <v>28</v>
      </c>
      <c r="S207" t="s">
        <v>30</v>
      </c>
      <c r="T207">
        <v>4.7300000000000004</v>
      </c>
      <c r="U207" t="s">
        <v>39</v>
      </c>
    </row>
    <row r="208" spans="1:21">
      <c r="A208">
        <v>127</v>
      </c>
      <c r="B208" t="s">
        <v>128</v>
      </c>
      <c r="C208" t="s">
        <v>129</v>
      </c>
      <c r="D208">
        <v>5</v>
      </c>
      <c r="G208">
        <v>4</v>
      </c>
      <c r="H208" t="s">
        <v>21</v>
      </c>
      <c r="I208" t="s">
        <v>34</v>
      </c>
      <c r="J208" t="s">
        <v>35</v>
      </c>
      <c r="K208" t="s">
        <v>36</v>
      </c>
      <c r="L208" t="s">
        <v>25</v>
      </c>
      <c r="M208" t="s">
        <v>26</v>
      </c>
      <c r="N208">
        <v>433</v>
      </c>
      <c r="O208">
        <v>24</v>
      </c>
      <c r="P208" t="s">
        <v>28</v>
      </c>
      <c r="Q208" t="s">
        <v>37</v>
      </c>
      <c r="R208" t="s">
        <v>37</v>
      </c>
      <c r="S208" t="s">
        <v>28</v>
      </c>
      <c r="T208">
        <v>4.8</v>
      </c>
      <c r="U208" t="s">
        <v>39</v>
      </c>
    </row>
    <row r="209" spans="1:21">
      <c r="A209">
        <v>362</v>
      </c>
      <c r="B209" t="s">
        <v>126</v>
      </c>
      <c r="C209" t="s">
        <v>127</v>
      </c>
      <c r="D209">
        <v>5</v>
      </c>
      <c r="G209">
        <v>3.5</v>
      </c>
      <c r="H209" t="s">
        <v>21</v>
      </c>
      <c r="I209" t="s">
        <v>117</v>
      </c>
      <c r="J209" t="s">
        <v>23</v>
      </c>
      <c r="K209" t="s">
        <v>24</v>
      </c>
      <c r="L209" t="s">
        <v>25</v>
      </c>
      <c r="M209" t="s">
        <v>26</v>
      </c>
      <c r="N209">
        <v>415</v>
      </c>
      <c r="O209">
        <v>24</v>
      </c>
      <c r="P209" t="s">
        <v>28</v>
      </c>
      <c r="Q209" t="s">
        <v>28</v>
      </c>
      <c r="R209" t="s">
        <v>37</v>
      </c>
      <c r="S209" t="s">
        <v>37</v>
      </c>
      <c r="T209">
        <v>4.8</v>
      </c>
      <c r="U209" t="s">
        <v>39</v>
      </c>
    </row>
    <row r="210" spans="1:21">
      <c r="A210">
        <v>116</v>
      </c>
      <c r="B210" t="s">
        <v>123</v>
      </c>
      <c r="C210" t="s">
        <v>124</v>
      </c>
      <c r="D210">
        <v>4.5</v>
      </c>
      <c r="G210">
        <v>1.5</v>
      </c>
      <c r="H210" t="s">
        <v>125</v>
      </c>
      <c r="I210" t="s">
        <v>34</v>
      </c>
      <c r="J210" t="s">
        <v>23</v>
      </c>
      <c r="K210" t="s">
        <v>24</v>
      </c>
      <c r="L210" t="s">
        <v>25</v>
      </c>
      <c r="M210" t="s">
        <v>29</v>
      </c>
      <c r="N210">
        <v>360</v>
      </c>
      <c r="O210">
        <v>22</v>
      </c>
      <c r="P210" t="s">
        <v>42</v>
      </c>
      <c r="Q210" t="s">
        <v>28</v>
      </c>
      <c r="R210" t="s">
        <v>27</v>
      </c>
      <c r="S210" t="s">
        <v>42</v>
      </c>
      <c r="T210">
        <v>4.8899999999999997</v>
      </c>
      <c r="U210" t="s">
        <v>31</v>
      </c>
    </row>
    <row r="211" spans="1:21">
      <c r="A211">
        <v>112</v>
      </c>
      <c r="B211" t="s">
        <v>120</v>
      </c>
      <c r="C211" t="s">
        <v>121</v>
      </c>
      <c r="D211">
        <v>4.9000000000000004</v>
      </c>
      <c r="G211">
        <v>6.6</v>
      </c>
      <c r="H211" t="s">
        <v>21</v>
      </c>
      <c r="I211" t="s">
        <v>122</v>
      </c>
      <c r="J211" t="s">
        <v>23</v>
      </c>
      <c r="K211" t="s">
        <v>24</v>
      </c>
      <c r="L211" t="s">
        <v>25</v>
      </c>
      <c r="M211" t="s">
        <v>26</v>
      </c>
      <c r="N211">
        <v>450</v>
      </c>
      <c r="O211">
        <v>24</v>
      </c>
      <c r="P211" t="s">
        <v>42</v>
      </c>
      <c r="Q211" t="s">
        <v>28</v>
      </c>
      <c r="R211" t="s">
        <v>27</v>
      </c>
      <c r="S211" t="s">
        <v>27</v>
      </c>
      <c r="T211">
        <v>4.9000000000000004</v>
      </c>
      <c r="U211" t="s">
        <v>31</v>
      </c>
    </row>
    <row r="212" spans="1:21">
      <c r="A212">
        <v>230</v>
      </c>
      <c r="B212" t="s">
        <v>118</v>
      </c>
      <c r="C212" t="s">
        <v>119</v>
      </c>
      <c r="D212">
        <v>5.5</v>
      </c>
      <c r="G212">
        <v>2.4</v>
      </c>
      <c r="H212" t="s">
        <v>21</v>
      </c>
      <c r="I212" t="s">
        <v>50</v>
      </c>
      <c r="J212" t="s">
        <v>23</v>
      </c>
      <c r="K212" t="s">
        <v>24</v>
      </c>
      <c r="L212" t="s">
        <v>25</v>
      </c>
      <c r="M212" t="s">
        <v>26</v>
      </c>
      <c r="N212">
        <v>450</v>
      </c>
      <c r="O212">
        <v>27</v>
      </c>
      <c r="P212" t="s">
        <v>28</v>
      </c>
      <c r="Q212" t="s">
        <v>28</v>
      </c>
      <c r="R212" t="s">
        <v>37</v>
      </c>
      <c r="S212" t="s">
        <v>28</v>
      </c>
      <c r="T212">
        <v>4.91</v>
      </c>
      <c r="U212" t="s">
        <v>39</v>
      </c>
    </row>
    <row r="213" spans="1:21">
      <c r="A213">
        <v>350</v>
      </c>
      <c r="B213" t="s">
        <v>115</v>
      </c>
      <c r="C213" t="s">
        <v>116</v>
      </c>
      <c r="D213">
        <v>5.5</v>
      </c>
      <c r="G213">
        <v>4</v>
      </c>
      <c r="H213" t="s">
        <v>21</v>
      </c>
      <c r="I213" t="s">
        <v>117</v>
      </c>
      <c r="J213" t="s">
        <v>46</v>
      </c>
      <c r="K213" t="s">
        <v>47</v>
      </c>
      <c r="L213" t="s">
        <v>25</v>
      </c>
      <c r="M213" t="s">
        <v>26</v>
      </c>
      <c r="N213">
        <v>450</v>
      </c>
      <c r="O213">
        <v>27</v>
      </c>
      <c r="P213" t="s">
        <v>28</v>
      </c>
      <c r="Q213" t="s">
        <v>28</v>
      </c>
      <c r="R213" t="s">
        <v>37</v>
      </c>
      <c r="S213" t="s">
        <v>26</v>
      </c>
      <c r="T213">
        <v>4.91</v>
      </c>
      <c r="U213" t="s">
        <v>39</v>
      </c>
    </row>
    <row r="214" spans="1:21">
      <c r="A214">
        <v>69</v>
      </c>
      <c r="B214" t="s">
        <v>111</v>
      </c>
      <c r="C214" t="s">
        <v>112</v>
      </c>
      <c r="D214">
        <v>6.1</v>
      </c>
      <c r="G214">
        <v>5.8</v>
      </c>
      <c r="H214" t="s">
        <v>21</v>
      </c>
      <c r="I214" t="s">
        <v>96</v>
      </c>
      <c r="J214" t="s">
        <v>35</v>
      </c>
      <c r="K214" t="s">
        <v>36</v>
      </c>
      <c r="L214" t="s">
        <v>25</v>
      </c>
      <c r="M214" t="s">
        <v>26</v>
      </c>
      <c r="N214">
        <v>446</v>
      </c>
      <c r="O214">
        <v>30</v>
      </c>
      <c r="P214" t="s">
        <v>42</v>
      </c>
      <c r="Q214" t="s">
        <v>27</v>
      </c>
      <c r="R214" t="s">
        <v>42</v>
      </c>
      <c r="S214" t="s">
        <v>26</v>
      </c>
      <c r="T214">
        <v>4.92</v>
      </c>
      <c r="U214" t="s">
        <v>39</v>
      </c>
    </row>
    <row r="215" spans="1:21">
      <c r="A215">
        <v>1</v>
      </c>
      <c r="B215" t="s">
        <v>113</v>
      </c>
      <c r="C215" t="s">
        <v>114</v>
      </c>
      <c r="D215">
        <v>6.1</v>
      </c>
      <c r="G215">
        <v>42.2</v>
      </c>
      <c r="H215" t="s">
        <v>21</v>
      </c>
      <c r="I215" t="s">
        <v>104</v>
      </c>
      <c r="J215" t="s">
        <v>46</v>
      </c>
      <c r="K215" t="s">
        <v>47</v>
      </c>
      <c r="L215" t="s">
        <v>25</v>
      </c>
      <c r="M215" t="s">
        <v>26</v>
      </c>
      <c r="N215">
        <v>450</v>
      </c>
      <c r="O215">
        <v>30</v>
      </c>
      <c r="P215" t="s">
        <v>28</v>
      </c>
      <c r="Q215" t="s">
        <v>28</v>
      </c>
      <c r="R215" t="s">
        <v>37</v>
      </c>
      <c r="S215" t="s">
        <v>37</v>
      </c>
      <c r="T215">
        <v>4.92</v>
      </c>
      <c r="U215" t="s">
        <v>39</v>
      </c>
    </row>
    <row r="216" spans="1:21">
      <c r="A216">
        <v>388</v>
      </c>
      <c r="B216" t="s">
        <v>98</v>
      </c>
      <c r="C216" t="s">
        <v>99</v>
      </c>
      <c r="D216">
        <v>6</v>
      </c>
      <c r="G216">
        <v>18.2</v>
      </c>
      <c r="H216" t="s">
        <v>21</v>
      </c>
      <c r="I216" t="s">
        <v>54</v>
      </c>
      <c r="J216" t="s">
        <v>23</v>
      </c>
      <c r="K216" t="s">
        <v>24</v>
      </c>
      <c r="L216" t="s">
        <v>25</v>
      </c>
      <c r="M216" t="s">
        <v>26</v>
      </c>
      <c r="N216">
        <v>450</v>
      </c>
      <c r="O216">
        <v>30</v>
      </c>
      <c r="P216" t="s">
        <v>42</v>
      </c>
      <c r="Q216" t="s">
        <v>42</v>
      </c>
      <c r="R216" t="s">
        <v>27</v>
      </c>
      <c r="S216" t="s">
        <v>29</v>
      </c>
      <c r="T216">
        <v>5</v>
      </c>
      <c r="U216" t="s">
        <v>39</v>
      </c>
    </row>
    <row r="217" spans="1:21">
      <c r="A217">
        <v>8</v>
      </c>
      <c r="B217" t="s">
        <v>102</v>
      </c>
      <c r="C217" t="s">
        <v>103</v>
      </c>
      <c r="D217">
        <v>5.8</v>
      </c>
      <c r="G217">
        <v>50.5</v>
      </c>
      <c r="H217" t="s">
        <v>21</v>
      </c>
      <c r="I217" t="s">
        <v>104</v>
      </c>
      <c r="J217" t="s">
        <v>23</v>
      </c>
      <c r="K217" t="s">
        <v>24</v>
      </c>
      <c r="L217" t="s">
        <v>25</v>
      </c>
      <c r="M217" t="s">
        <v>26</v>
      </c>
      <c r="N217">
        <v>416</v>
      </c>
      <c r="O217">
        <v>29</v>
      </c>
      <c r="P217" t="s">
        <v>28</v>
      </c>
      <c r="Q217" t="s">
        <v>27</v>
      </c>
      <c r="R217" t="s">
        <v>37</v>
      </c>
      <c r="S217" t="s">
        <v>27</v>
      </c>
      <c r="T217">
        <v>5</v>
      </c>
      <c r="U217" t="s">
        <v>39</v>
      </c>
    </row>
    <row r="218" spans="1:21">
      <c r="A218">
        <v>138</v>
      </c>
      <c r="B218" t="s">
        <v>105</v>
      </c>
      <c r="C218" t="s">
        <v>106</v>
      </c>
      <c r="D218">
        <v>5.6</v>
      </c>
      <c r="G218">
        <v>3.9</v>
      </c>
      <c r="H218" t="s">
        <v>21</v>
      </c>
      <c r="I218" t="s">
        <v>34</v>
      </c>
      <c r="J218" t="s">
        <v>107</v>
      </c>
      <c r="K218" t="s">
        <v>108</v>
      </c>
      <c r="L218" t="s">
        <v>25</v>
      </c>
      <c r="M218" t="s">
        <v>26</v>
      </c>
      <c r="N218">
        <v>353</v>
      </c>
      <c r="O218">
        <v>28</v>
      </c>
      <c r="P218" t="s">
        <v>27</v>
      </c>
      <c r="Q218" t="s">
        <v>37</v>
      </c>
      <c r="R218" t="s">
        <v>27</v>
      </c>
      <c r="S218" t="s">
        <v>37</v>
      </c>
      <c r="T218">
        <v>5</v>
      </c>
      <c r="U218" t="s">
        <v>39</v>
      </c>
    </row>
    <row r="219" spans="1:21">
      <c r="A219">
        <v>88</v>
      </c>
      <c r="B219" t="s">
        <v>100</v>
      </c>
      <c r="C219" t="s">
        <v>101</v>
      </c>
      <c r="D219">
        <v>4.5999999999999996</v>
      </c>
      <c r="G219">
        <v>7.6</v>
      </c>
      <c r="H219" t="s">
        <v>21</v>
      </c>
      <c r="I219" t="s">
        <v>63</v>
      </c>
      <c r="J219" t="s">
        <v>23</v>
      </c>
      <c r="K219" t="s">
        <v>24</v>
      </c>
      <c r="L219" t="s">
        <v>25</v>
      </c>
      <c r="M219" t="s">
        <v>26</v>
      </c>
      <c r="N219">
        <v>294</v>
      </c>
      <c r="O219">
        <v>23</v>
      </c>
      <c r="P219" t="s">
        <v>42</v>
      </c>
      <c r="Q219" t="s">
        <v>28</v>
      </c>
      <c r="R219" t="s">
        <v>27</v>
      </c>
      <c r="S219" t="s">
        <v>42</v>
      </c>
      <c r="T219">
        <v>5</v>
      </c>
      <c r="U219" t="s">
        <v>31</v>
      </c>
    </row>
    <row r="220" spans="1:21">
      <c r="A220">
        <v>176</v>
      </c>
      <c r="B220" t="s">
        <v>109</v>
      </c>
      <c r="C220" t="s">
        <v>110</v>
      </c>
      <c r="D220">
        <v>4</v>
      </c>
      <c r="G220">
        <v>0.7</v>
      </c>
      <c r="H220" t="s">
        <v>21</v>
      </c>
      <c r="I220" t="s">
        <v>75</v>
      </c>
      <c r="J220" t="s">
        <v>23</v>
      </c>
      <c r="K220" t="s">
        <v>24</v>
      </c>
      <c r="L220" t="s">
        <v>25</v>
      </c>
      <c r="M220" t="s">
        <v>26</v>
      </c>
      <c r="N220">
        <v>444</v>
      </c>
      <c r="O220">
        <v>20</v>
      </c>
      <c r="P220" t="s">
        <v>42</v>
      </c>
      <c r="Q220" t="s">
        <v>28</v>
      </c>
      <c r="R220" t="s">
        <v>42</v>
      </c>
      <c r="S220" t="s">
        <v>37</v>
      </c>
      <c r="T220">
        <v>5</v>
      </c>
      <c r="U220" t="s">
        <v>31</v>
      </c>
    </row>
    <row r="221" spans="1:21">
      <c r="A221">
        <v>68</v>
      </c>
      <c r="B221" t="s">
        <v>94</v>
      </c>
      <c r="C221" t="s">
        <v>95</v>
      </c>
      <c r="D221">
        <v>6.1</v>
      </c>
      <c r="G221">
        <v>6.7</v>
      </c>
      <c r="H221" t="s">
        <v>21</v>
      </c>
      <c r="I221" t="s">
        <v>96</v>
      </c>
      <c r="J221" t="s">
        <v>35</v>
      </c>
      <c r="K221" t="s">
        <v>36</v>
      </c>
      <c r="L221" t="s">
        <v>25</v>
      </c>
      <c r="M221" t="s">
        <v>26</v>
      </c>
      <c r="N221">
        <v>424</v>
      </c>
      <c r="O221">
        <v>31</v>
      </c>
      <c r="P221" t="s">
        <v>37</v>
      </c>
      <c r="Q221" t="s">
        <v>28</v>
      </c>
      <c r="R221" t="s">
        <v>28</v>
      </c>
      <c r="S221" t="s">
        <v>97</v>
      </c>
      <c r="T221">
        <v>5.08</v>
      </c>
      <c r="U221" t="s">
        <v>39</v>
      </c>
    </row>
    <row r="222" spans="1:21">
      <c r="A222">
        <v>109</v>
      </c>
      <c r="B222" t="s">
        <v>92</v>
      </c>
      <c r="C222" t="s">
        <v>93</v>
      </c>
      <c r="D222">
        <v>4.5</v>
      </c>
      <c r="G222">
        <v>21.6</v>
      </c>
      <c r="H222" t="s">
        <v>21</v>
      </c>
      <c r="I222" t="s">
        <v>34</v>
      </c>
      <c r="J222" t="s">
        <v>46</v>
      </c>
      <c r="K222" t="s">
        <v>47</v>
      </c>
      <c r="L222" t="s">
        <v>25</v>
      </c>
      <c r="M222" t="s">
        <v>26</v>
      </c>
      <c r="N222">
        <v>450</v>
      </c>
      <c r="O222">
        <v>23</v>
      </c>
      <c r="P222" t="s">
        <v>28</v>
      </c>
      <c r="Q222" t="s">
        <v>28</v>
      </c>
      <c r="R222" t="s">
        <v>37</v>
      </c>
      <c r="S222" t="s">
        <v>28</v>
      </c>
      <c r="T222">
        <v>5.1100000000000003</v>
      </c>
      <c r="U222" t="s">
        <v>31</v>
      </c>
    </row>
    <row r="223" spans="1:21">
      <c r="A223">
        <v>204</v>
      </c>
      <c r="B223" t="s">
        <v>89</v>
      </c>
      <c r="C223" t="s">
        <v>90</v>
      </c>
      <c r="D223">
        <v>4.5</v>
      </c>
      <c r="G223">
        <v>6</v>
      </c>
      <c r="H223" t="s">
        <v>21</v>
      </c>
      <c r="I223" t="s">
        <v>91</v>
      </c>
      <c r="J223" t="s">
        <v>23</v>
      </c>
      <c r="K223" t="s">
        <v>24</v>
      </c>
      <c r="L223" t="s">
        <v>25</v>
      </c>
      <c r="M223" t="s">
        <v>26</v>
      </c>
      <c r="N223">
        <v>419</v>
      </c>
      <c r="O223">
        <v>24</v>
      </c>
      <c r="P223" t="s">
        <v>27</v>
      </c>
      <c r="Q223" t="s">
        <v>28</v>
      </c>
      <c r="R223" t="s">
        <v>42</v>
      </c>
      <c r="S223" t="s">
        <v>37</v>
      </c>
      <c r="T223">
        <v>5.33</v>
      </c>
      <c r="U223" t="s">
        <v>31</v>
      </c>
    </row>
    <row r="224" spans="1:21">
      <c r="A224">
        <v>334</v>
      </c>
      <c r="B224" t="s">
        <v>87</v>
      </c>
      <c r="C224" t="s">
        <v>88</v>
      </c>
      <c r="D224">
        <v>5</v>
      </c>
      <c r="G224">
        <v>4.3</v>
      </c>
      <c r="H224" t="s">
        <v>21</v>
      </c>
      <c r="I224" t="s">
        <v>22</v>
      </c>
      <c r="J224" t="s">
        <v>23</v>
      </c>
      <c r="K224" t="s">
        <v>24</v>
      </c>
      <c r="L224" t="s">
        <v>25</v>
      </c>
      <c r="M224" t="s">
        <v>26</v>
      </c>
      <c r="N224">
        <v>450</v>
      </c>
      <c r="O224">
        <v>27</v>
      </c>
      <c r="P224" t="s">
        <v>28</v>
      </c>
      <c r="Q224" t="s">
        <v>42</v>
      </c>
      <c r="R224" t="s">
        <v>27</v>
      </c>
      <c r="S224" t="s">
        <v>28</v>
      </c>
      <c r="T224">
        <v>5.4</v>
      </c>
      <c r="U224" t="s">
        <v>39</v>
      </c>
    </row>
    <row r="225" spans="1:21">
      <c r="A225">
        <v>385</v>
      </c>
      <c r="B225" t="s">
        <v>83</v>
      </c>
      <c r="C225" t="s">
        <v>84</v>
      </c>
      <c r="D225">
        <v>5</v>
      </c>
      <c r="G225">
        <v>5.5</v>
      </c>
      <c r="H225" t="s">
        <v>21</v>
      </c>
      <c r="I225" t="s">
        <v>22</v>
      </c>
      <c r="J225" t="s">
        <v>46</v>
      </c>
      <c r="K225" t="s">
        <v>47</v>
      </c>
      <c r="L225" t="s">
        <v>25</v>
      </c>
      <c r="M225" t="s">
        <v>26</v>
      </c>
      <c r="N225">
        <v>450</v>
      </c>
      <c r="O225">
        <v>28</v>
      </c>
      <c r="P225" t="s">
        <v>28</v>
      </c>
      <c r="Q225" t="s">
        <v>28</v>
      </c>
      <c r="R225" t="s">
        <v>27</v>
      </c>
      <c r="S225" t="s">
        <v>26</v>
      </c>
      <c r="T225">
        <v>5.6</v>
      </c>
      <c r="U225" t="s">
        <v>39</v>
      </c>
    </row>
    <row r="226" spans="1:21">
      <c r="A226">
        <v>98</v>
      </c>
      <c r="B226" t="s">
        <v>85</v>
      </c>
      <c r="C226" t="s">
        <v>86</v>
      </c>
      <c r="D226">
        <v>5</v>
      </c>
      <c r="G226">
        <v>2.5</v>
      </c>
      <c r="H226" t="s">
        <v>21</v>
      </c>
      <c r="I226" t="s">
        <v>63</v>
      </c>
      <c r="J226" t="s">
        <v>35</v>
      </c>
      <c r="K226" t="s">
        <v>36</v>
      </c>
      <c r="L226" t="s">
        <v>25</v>
      </c>
      <c r="M226" t="s">
        <v>26</v>
      </c>
      <c r="N226">
        <v>450</v>
      </c>
      <c r="O226">
        <v>28</v>
      </c>
      <c r="P226" t="s">
        <v>27</v>
      </c>
      <c r="Q226" t="s">
        <v>28</v>
      </c>
      <c r="R226" t="s">
        <v>27</v>
      </c>
      <c r="S226" t="s">
        <v>37</v>
      </c>
      <c r="T226">
        <v>5.6</v>
      </c>
      <c r="U226" t="s">
        <v>39</v>
      </c>
    </row>
    <row r="227" spans="1:21">
      <c r="A227">
        <v>332</v>
      </c>
      <c r="B227" t="s">
        <v>81</v>
      </c>
      <c r="C227" t="s">
        <v>82</v>
      </c>
      <c r="D227">
        <v>4.5</v>
      </c>
      <c r="G227">
        <v>1.5</v>
      </c>
      <c r="H227" t="s">
        <v>21</v>
      </c>
      <c r="I227" t="s">
        <v>22</v>
      </c>
      <c r="J227" t="s">
        <v>23</v>
      </c>
      <c r="K227" t="s">
        <v>24</v>
      </c>
      <c r="L227" t="s">
        <v>25</v>
      </c>
      <c r="M227" t="s">
        <v>26</v>
      </c>
      <c r="N227">
        <v>450</v>
      </c>
      <c r="O227">
        <v>26</v>
      </c>
      <c r="P227" t="s">
        <v>28</v>
      </c>
      <c r="Q227" t="s">
        <v>28</v>
      </c>
      <c r="R227" t="s">
        <v>27</v>
      </c>
      <c r="S227" t="s">
        <v>29</v>
      </c>
      <c r="T227">
        <v>5.78</v>
      </c>
      <c r="U227" t="s">
        <v>31</v>
      </c>
    </row>
    <row r="228" spans="1:21">
      <c r="A228">
        <v>449</v>
      </c>
      <c r="B228" t="s">
        <v>78</v>
      </c>
      <c r="C228" t="s">
        <v>79</v>
      </c>
      <c r="D228">
        <v>5.3</v>
      </c>
      <c r="G228">
        <v>17.2</v>
      </c>
      <c r="H228" t="s">
        <v>21</v>
      </c>
      <c r="I228" t="s">
        <v>80</v>
      </c>
      <c r="J228" t="s">
        <v>23</v>
      </c>
      <c r="K228" t="s">
        <v>24</v>
      </c>
      <c r="L228" t="s">
        <v>25</v>
      </c>
      <c r="M228" t="s">
        <v>26</v>
      </c>
      <c r="N228">
        <v>449</v>
      </c>
      <c r="O228">
        <v>31</v>
      </c>
      <c r="P228" t="s">
        <v>42</v>
      </c>
      <c r="Q228" t="s">
        <v>42</v>
      </c>
      <c r="R228" t="s">
        <v>42</v>
      </c>
      <c r="S228" t="s">
        <v>30</v>
      </c>
      <c r="T228">
        <v>5.85</v>
      </c>
      <c r="U228" t="s">
        <v>39</v>
      </c>
    </row>
    <row r="229" spans="1:21">
      <c r="A229">
        <v>233</v>
      </c>
      <c r="B229" t="s">
        <v>76</v>
      </c>
      <c r="C229" t="s">
        <v>77</v>
      </c>
      <c r="D229">
        <v>4.5999999999999996</v>
      </c>
      <c r="G229">
        <v>4.2</v>
      </c>
      <c r="H229" t="s">
        <v>21</v>
      </c>
      <c r="I229" t="s">
        <v>50</v>
      </c>
      <c r="J229" t="s">
        <v>23</v>
      </c>
      <c r="K229" t="s">
        <v>24</v>
      </c>
      <c r="L229" t="s">
        <v>25</v>
      </c>
      <c r="M229" t="s">
        <v>26</v>
      </c>
      <c r="N229">
        <v>450</v>
      </c>
      <c r="O229">
        <v>27</v>
      </c>
      <c r="P229" t="s">
        <v>28</v>
      </c>
      <c r="Q229" t="s">
        <v>28</v>
      </c>
      <c r="R229" t="s">
        <v>37</v>
      </c>
      <c r="S229" t="s">
        <v>37</v>
      </c>
      <c r="T229">
        <v>5.87</v>
      </c>
      <c r="U229" t="s">
        <v>31</v>
      </c>
    </row>
    <row r="230" spans="1:21">
      <c r="A230">
        <v>173</v>
      </c>
      <c r="B230" t="s">
        <v>73</v>
      </c>
      <c r="C230" t="s">
        <v>74</v>
      </c>
      <c r="D230">
        <v>4</v>
      </c>
      <c r="G230">
        <v>8.6</v>
      </c>
      <c r="H230" t="s">
        <v>21</v>
      </c>
      <c r="I230" t="s">
        <v>75</v>
      </c>
      <c r="J230" t="s">
        <v>23</v>
      </c>
      <c r="K230" t="s">
        <v>24</v>
      </c>
      <c r="L230" t="s">
        <v>25</v>
      </c>
      <c r="M230" t="s">
        <v>26</v>
      </c>
      <c r="N230">
        <v>437</v>
      </c>
      <c r="O230">
        <v>24</v>
      </c>
      <c r="P230" t="s">
        <v>28</v>
      </c>
      <c r="Q230" t="s">
        <v>28</v>
      </c>
      <c r="R230" t="s">
        <v>27</v>
      </c>
      <c r="S230" t="s">
        <v>37</v>
      </c>
      <c r="T230">
        <v>6</v>
      </c>
      <c r="U230" t="s">
        <v>31</v>
      </c>
    </row>
    <row r="231" spans="1:21">
      <c r="A231">
        <v>282</v>
      </c>
      <c r="B231" t="s">
        <v>71</v>
      </c>
      <c r="C231" t="s">
        <v>72</v>
      </c>
      <c r="D231">
        <v>4</v>
      </c>
      <c r="G231">
        <v>2.9</v>
      </c>
      <c r="H231" t="s">
        <v>21</v>
      </c>
      <c r="I231" t="s">
        <v>45</v>
      </c>
      <c r="J231" t="s">
        <v>23</v>
      </c>
      <c r="K231" t="s">
        <v>24</v>
      </c>
      <c r="L231" t="s">
        <v>25</v>
      </c>
      <c r="M231" t="s">
        <v>26</v>
      </c>
      <c r="N231">
        <v>444</v>
      </c>
      <c r="O231">
        <v>24</v>
      </c>
      <c r="P231" t="s">
        <v>28</v>
      </c>
      <c r="Q231" t="s">
        <v>42</v>
      </c>
      <c r="R231" t="s">
        <v>37</v>
      </c>
      <c r="S231" t="s">
        <v>27</v>
      </c>
      <c r="T231">
        <v>6</v>
      </c>
      <c r="U231" t="s">
        <v>31</v>
      </c>
    </row>
    <row r="232" spans="1:21">
      <c r="A232">
        <v>286</v>
      </c>
      <c r="B232" t="s">
        <v>69</v>
      </c>
      <c r="C232" t="s">
        <v>70</v>
      </c>
      <c r="D232">
        <v>5.0999999999999996</v>
      </c>
      <c r="G232">
        <v>5.0999999999999996</v>
      </c>
      <c r="H232" t="s">
        <v>21</v>
      </c>
      <c r="I232" t="s">
        <v>45</v>
      </c>
      <c r="J232" t="s">
        <v>35</v>
      </c>
      <c r="K232" t="s">
        <v>36</v>
      </c>
      <c r="L232" t="s">
        <v>25</v>
      </c>
      <c r="M232" t="s">
        <v>26</v>
      </c>
      <c r="N232">
        <v>394</v>
      </c>
      <c r="O232">
        <v>31</v>
      </c>
      <c r="P232" t="s">
        <v>27</v>
      </c>
      <c r="Q232" t="s">
        <v>27</v>
      </c>
      <c r="R232" t="s">
        <v>37</v>
      </c>
      <c r="S232" t="s">
        <v>27</v>
      </c>
      <c r="T232">
        <v>6.08</v>
      </c>
      <c r="U232" t="s">
        <v>39</v>
      </c>
    </row>
    <row r="233" spans="1:21">
      <c r="A233">
        <v>586</v>
      </c>
      <c r="B233" t="s">
        <v>67</v>
      </c>
      <c r="C233" t="s">
        <v>68</v>
      </c>
      <c r="D233">
        <v>4.0999999999999996</v>
      </c>
      <c r="G233">
        <v>6.3</v>
      </c>
      <c r="H233" t="s">
        <v>21</v>
      </c>
      <c r="I233" t="s">
        <v>45</v>
      </c>
      <c r="J233" t="s">
        <v>23</v>
      </c>
      <c r="K233" t="s">
        <v>24</v>
      </c>
      <c r="L233" t="s">
        <v>25</v>
      </c>
      <c r="M233" t="s">
        <v>29</v>
      </c>
      <c r="N233">
        <v>249</v>
      </c>
      <c r="O233">
        <v>25</v>
      </c>
      <c r="P233" t="s">
        <v>42</v>
      </c>
      <c r="Q233" t="s">
        <v>28</v>
      </c>
      <c r="R233" t="s">
        <v>27</v>
      </c>
      <c r="S233" t="s">
        <v>42</v>
      </c>
      <c r="T233">
        <v>6.1</v>
      </c>
      <c r="U233" t="s">
        <v>31</v>
      </c>
    </row>
    <row r="234" spans="1:21">
      <c r="A234">
        <v>305</v>
      </c>
      <c r="B234" t="s">
        <v>64</v>
      </c>
      <c r="C234" t="s">
        <v>65</v>
      </c>
      <c r="D234">
        <v>4</v>
      </c>
      <c r="G234">
        <v>6.9</v>
      </c>
      <c r="H234" t="s">
        <v>21</v>
      </c>
      <c r="I234" t="s">
        <v>66</v>
      </c>
      <c r="J234" t="s">
        <v>23</v>
      </c>
      <c r="K234" t="s">
        <v>24</v>
      </c>
      <c r="L234" t="s">
        <v>25</v>
      </c>
      <c r="M234" t="s">
        <v>26</v>
      </c>
      <c r="N234">
        <v>450</v>
      </c>
      <c r="O234">
        <v>25</v>
      </c>
      <c r="P234" t="s">
        <v>27</v>
      </c>
      <c r="Q234" t="s">
        <v>27</v>
      </c>
      <c r="R234" t="s">
        <v>28</v>
      </c>
      <c r="S234" t="s">
        <v>42</v>
      </c>
      <c r="T234">
        <v>6.25</v>
      </c>
      <c r="U234" t="s">
        <v>31</v>
      </c>
    </row>
    <row r="235" spans="1:21">
      <c r="A235">
        <v>94</v>
      </c>
      <c r="B235" t="s">
        <v>61</v>
      </c>
      <c r="C235" t="s">
        <v>62</v>
      </c>
      <c r="D235">
        <v>6.2</v>
      </c>
      <c r="G235">
        <v>11.3</v>
      </c>
      <c r="H235" t="s">
        <v>21</v>
      </c>
      <c r="I235" t="s">
        <v>63</v>
      </c>
      <c r="J235" t="s">
        <v>35</v>
      </c>
      <c r="K235" t="s">
        <v>36</v>
      </c>
      <c r="L235" t="s">
        <v>25</v>
      </c>
      <c r="M235" t="s">
        <v>26</v>
      </c>
      <c r="N235">
        <v>447</v>
      </c>
      <c r="O235">
        <v>39</v>
      </c>
      <c r="P235" t="s">
        <v>37</v>
      </c>
      <c r="Q235" t="s">
        <v>27</v>
      </c>
      <c r="R235" t="s">
        <v>27</v>
      </c>
      <c r="S235" t="s">
        <v>30</v>
      </c>
      <c r="T235">
        <v>6.29</v>
      </c>
      <c r="U235" t="s">
        <v>39</v>
      </c>
    </row>
    <row r="236" spans="1:21">
      <c r="A236">
        <v>277</v>
      </c>
      <c r="B236" t="s">
        <v>59</v>
      </c>
      <c r="C236" t="s">
        <v>60</v>
      </c>
      <c r="D236">
        <v>4.0999999999999996</v>
      </c>
      <c r="G236">
        <v>7</v>
      </c>
      <c r="H236" t="s">
        <v>21</v>
      </c>
      <c r="I236" t="s">
        <v>45</v>
      </c>
      <c r="J236" t="s">
        <v>23</v>
      </c>
      <c r="K236" t="s">
        <v>24</v>
      </c>
      <c r="L236" t="s">
        <v>25</v>
      </c>
      <c r="M236" t="s">
        <v>26</v>
      </c>
      <c r="N236">
        <v>437</v>
      </c>
      <c r="O236">
        <v>26</v>
      </c>
      <c r="P236" t="s">
        <v>28</v>
      </c>
      <c r="Q236" t="s">
        <v>28</v>
      </c>
      <c r="R236" t="s">
        <v>37</v>
      </c>
      <c r="S236" t="s">
        <v>42</v>
      </c>
      <c r="T236">
        <v>6.34</v>
      </c>
      <c r="U236" t="s">
        <v>31</v>
      </c>
    </row>
    <row r="237" spans="1:21">
      <c r="A237">
        <v>504</v>
      </c>
      <c r="B237" t="s">
        <v>57</v>
      </c>
      <c r="C237" t="s">
        <v>58</v>
      </c>
      <c r="D237">
        <v>5</v>
      </c>
      <c r="G237">
        <v>3.6</v>
      </c>
      <c r="H237" t="s">
        <v>21</v>
      </c>
      <c r="I237" t="s">
        <v>34</v>
      </c>
      <c r="J237" t="s">
        <v>23</v>
      </c>
      <c r="K237" t="s">
        <v>24</v>
      </c>
      <c r="L237" t="s">
        <v>25</v>
      </c>
      <c r="M237" t="s">
        <v>26</v>
      </c>
      <c r="N237">
        <v>437</v>
      </c>
      <c r="O237">
        <v>32</v>
      </c>
      <c r="P237" t="s">
        <v>42</v>
      </c>
      <c r="Q237" t="s">
        <v>28</v>
      </c>
      <c r="R237" t="s">
        <v>37</v>
      </c>
      <c r="S237" t="s">
        <v>27</v>
      </c>
      <c r="T237">
        <v>6.4</v>
      </c>
      <c r="U237" t="s">
        <v>39</v>
      </c>
    </row>
    <row r="238" spans="1:21">
      <c r="A238">
        <v>279</v>
      </c>
      <c r="B238" t="s">
        <v>55</v>
      </c>
      <c r="C238" t="s">
        <v>56</v>
      </c>
      <c r="D238">
        <v>4.2</v>
      </c>
      <c r="G238">
        <v>14</v>
      </c>
      <c r="H238" t="s">
        <v>21</v>
      </c>
      <c r="I238" t="s">
        <v>45</v>
      </c>
      <c r="J238" t="s">
        <v>23</v>
      </c>
      <c r="K238" t="s">
        <v>24</v>
      </c>
      <c r="L238" t="s">
        <v>25</v>
      </c>
      <c r="M238" t="s">
        <v>26</v>
      </c>
      <c r="N238">
        <v>423</v>
      </c>
      <c r="O238">
        <v>27</v>
      </c>
      <c r="P238" t="s">
        <v>42</v>
      </c>
      <c r="Q238" t="s">
        <v>28</v>
      </c>
      <c r="R238" t="s">
        <v>37</v>
      </c>
      <c r="S238" t="s">
        <v>27</v>
      </c>
      <c r="T238">
        <v>6.43</v>
      </c>
      <c r="U238" t="s">
        <v>31</v>
      </c>
    </row>
    <row r="239" spans="1:21">
      <c r="A239">
        <v>391</v>
      </c>
      <c r="B239" t="s">
        <v>52</v>
      </c>
      <c r="C239" t="s">
        <v>53</v>
      </c>
      <c r="D239">
        <v>5.7</v>
      </c>
      <c r="G239">
        <v>26.7</v>
      </c>
      <c r="H239" t="s">
        <v>21</v>
      </c>
      <c r="I239" t="s">
        <v>54</v>
      </c>
      <c r="J239" t="s">
        <v>23</v>
      </c>
      <c r="K239" t="s">
        <v>24</v>
      </c>
      <c r="L239" t="s">
        <v>25</v>
      </c>
      <c r="M239" t="s">
        <v>26</v>
      </c>
      <c r="N239">
        <v>434</v>
      </c>
      <c r="O239">
        <v>37</v>
      </c>
      <c r="P239" t="s">
        <v>42</v>
      </c>
      <c r="Q239" t="s">
        <v>37</v>
      </c>
      <c r="R239" t="s">
        <v>27</v>
      </c>
      <c r="S239" t="s">
        <v>30</v>
      </c>
      <c r="T239">
        <v>6.49</v>
      </c>
      <c r="U239" t="s">
        <v>39</v>
      </c>
    </row>
    <row r="240" spans="1:21">
      <c r="A240">
        <v>229</v>
      </c>
      <c r="B240" t="s">
        <v>48</v>
      </c>
      <c r="C240" t="s">
        <v>49</v>
      </c>
      <c r="D240">
        <v>6.1</v>
      </c>
      <c r="G240">
        <v>16.3</v>
      </c>
      <c r="H240" t="s">
        <v>21</v>
      </c>
      <c r="I240" t="s">
        <v>50</v>
      </c>
      <c r="J240" t="s">
        <v>23</v>
      </c>
      <c r="K240" t="s">
        <v>24</v>
      </c>
      <c r="L240" t="s">
        <v>25</v>
      </c>
      <c r="M240" t="s">
        <v>26</v>
      </c>
      <c r="N240">
        <v>450</v>
      </c>
      <c r="O240">
        <v>43</v>
      </c>
      <c r="P240" t="s">
        <v>42</v>
      </c>
      <c r="Q240" t="s">
        <v>42</v>
      </c>
      <c r="R240" t="s">
        <v>37</v>
      </c>
      <c r="S240" t="s">
        <v>51</v>
      </c>
      <c r="T240">
        <v>7.05</v>
      </c>
      <c r="U240" t="s">
        <v>39</v>
      </c>
    </row>
    <row r="241" spans="1:21">
      <c r="A241">
        <v>572</v>
      </c>
      <c r="B241" t="s">
        <v>43</v>
      </c>
      <c r="C241" t="s">
        <v>44</v>
      </c>
      <c r="D241">
        <v>4.7</v>
      </c>
      <c r="G241">
        <v>12.7</v>
      </c>
      <c r="H241" t="s">
        <v>21</v>
      </c>
      <c r="I241" t="s">
        <v>45</v>
      </c>
      <c r="J241" t="s">
        <v>46</v>
      </c>
      <c r="K241" t="s">
        <v>47</v>
      </c>
      <c r="L241" t="s">
        <v>25</v>
      </c>
      <c r="M241" t="s">
        <v>26</v>
      </c>
      <c r="N241">
        <v>450</v>
      </c>
      <c r="O241">
        <v>34</v>
      </c>
      <c r="P241" t="s">
        <v>28</v>
      </c>
      <c r="Q241" t="s">
        <v>28</v>
      </c>
      <c r="R241" t="s">
        <v>37</v>
      </c>
      <c r="S241" t="s">
        <v>30</v>
      </c>
      <c r="T241">
        <v>7.23</v>
      </c>
      <c r="U241" t="s">
        <v>31</v>
      </c>
    </row>
    <row r="242" spans="1:21">
      <c r="A242">
        <v>115</v>
      </c>
      <c r="B242" t="s">
        <v>40</v>
      </c>
      <c r="C242" t="s">
        <v>41</v>
      </c>
      <c r="D242">
        <v>5</v>
      </c>
      <c r="G242">
        <v>27.7</v>
      </c>
      <c r="H242" t="s">
        <v>21</v>
      </c>
      <c r="I242" t="s">
        <v>34</v>
      </c>
      <c r="J242" t="s">
        <v>23</v>
      </c>
      <c r="K242" t="s">
        <v>24</v>
      </c>
      <c r="L242" t="s">
        <v>25</v>
      </c>
      <c r="M242" t="s">
        <v>26</v>
      </c>
      <c r="N242">
        <v>423</v>
      </c>
      <c r="O242">
        <v>38</v>
      </c>
      <c r="P242" t="s">
        <v>42</v>
      </c>
      <c r="Q242" t="s">
        <v>37</v>
      </c>
      <c r="R242" t="s">
        <v>37</v>
      </c>
      <c r="S242" t="s">
        <v>26</v>
      </c>
      <c r="T242">
        <v>7.6</v>
      </c>
      <c r="U242" t="s">
        <v>39</v>
      </c>
    </row>
    <row r="243" spans="1:21">
      <c r="A243">
        <v>124</v>
      </c>
      <c r="B243" t="s">
        <v>32</v>
      </c>
      <c r="C243" t="s">
        <v>33</v>
      </c>
      <c r="D243">
        <v>5.8</v>
      </c>
      <c r="G243">
        <v>28.6</v>
      </c>
      <c r="H243" t="s">
        <v>21</v>
      </c>
      <c r="I243" t="s">
        <v>34</v>
      </c>
      <c r="J243" t="s">
        <v>35</v>
      </c>
      <c r="K243" t="s">
        <v>36</v>
      </c>
      <c r="L243" t="s">
        <v>25</v>
      </c>
      <c r="M243" t="s">
        <v>26</v>
      </c>
      <c r="N243">
        <v>450</v>
      </c>
      <c r="O243">
        <v>47</v>
      </c>
      <c r="P243" t="s">
        <v>37</v>
      </c>
      <c r="Q243" t="s">
        <v>29</v>
      </c>
      <c r="R243" t="s">
        <v>37</v>
      </c>
      <c r="S243" t="s">
        <v>38</v>
      </c>
      <c r="T243">
        <v>8.1</v>
      </c>
      <c r="U243" t="s">
        <v>39</v>
      </c>
    </row>
    <row r="244" spans="1:21">
      <c r="A244">
        <v>330</v>
      </c>
      <c r="B244" t="s">
        <v>19</v>
      </c>
      <c r="C244" t="s">
        <v>20</v>
      </c>
      <c r="D244">
        <v>4.5999999999999996</v>
      </c>
      <c r="G244">
        <v>7.1</v>
      </c>
      <c r="H244" t="s">
        <v>21</v>
      </c>
      <c r="I244" t="s">
        <v>22</v>
      </c>
      <c r="J244" t="s">
        <v>23</v>
      </c>
      <c r="K244" t="s">
        <v>24</v>
      </c>
      <c r="L244" t="s">
        <v>25</v>
      </c>
      <c r="M244" t="s">
        <v>26</v>
      </c>
      <c r="N244">
        <v>365</v>
      </c>
      <c r="O244">
        <v>42</v>
      </c>
      <c r="P244" t="s">
        <v>27</v>
      </c>
      <c r="Q244" t="s">
        <v>28</v>
      </c>
      <c r="R244" t="s">
        <v>29</v>
      </c>
      <c r="S244" t="s">
        <v>30</v>
      </c>
      <c r="T244">
        <v>9.1300000000000008</v>
      </c>
      <c r="U244" t="s">
        <v>31</v>
      </c>
    </row>
    <row r="249" spans="1:21">
      <c r="A249" t="s">
        <v>6</v>
      </c>
      <c r="B249" t="s">
        <v>571</v>
      </c>
      <c r="C249" t="s">
        <v>552</v>
      </c>
      <c r="D249" t="s">
        <v>553</v>
      </c>
      <c r="E249" t="s">
        <v>554</v>
      </c>
      <c r="F249" t="s">
        <v>572</v>
      </c>
    </row>
    <row r="250" spans="1:21">
      <c r="A250" t="s">
        <v>96</v>
      </c>
      <c r="B250" t="s">
        <v>165</v>
      </c>
      <c r="C250">
        <v>36</v>
      </c>
      <c r="D250">
        <v>3</v>
      </c>
      <c r="E250" t="s">
        <v>569</v>
      </c>
      <c r="F250" t="s">
        <v>573</v>
      </c>
    </row>
    <row r="251" spans="1:21">
      <c r="A251" t="s">
        <v>96</v>
      </c>
      <c r="B251" t="s">
        <v>215</v>
      </c>
      <c r="C251">
        <v>25</v>
      </c>
      <c r="D251">
        <v>3</v>
      </c>
      <c r="E251" t="s">
        <v>569</v>
      </c>
      <c r="F251" t="s">
        <v>574</v>
      </c>
    </row>
    <row r="252" spans="1:21">
      <c r="A252" t="s">
        <v>96</v>
      </c>
      <c r="B252" t="s">
        <v>22</v>
      </c>
      <c r="C252">
        <v>24</v>
      </c>
      <c r="D252">
        <v>3</v>
      </c>
      <c r="E252" t="s">
        <v>569</v>
      </c>
      <c r="F252" t="s">
        <v>575</v>
      </c>
    </row>
    <row r="253" spans="1:21">
      <c r="A253" t="s">
        <v>96</v>
      </c>
      <c r="B253" t="s">
        <v>63</v>
      </c>
      <c r="C253">
        <v>30</v>
      </c>
      <c r="D253">
        <v>3</v>
      </c>
      <c r="E253" t="s">
        <v>569</v>
      </c>
      <c r="F253" t="s">
        <v>576</v>
      </c>
    </row>
    <row r="254" spans="1:21">
      <c r="A254" t="s">
        <v>96</v>
      </c>
      <c r="B254" t="s">
        <v>170</v>
      </c>
      <c r="C254">
        <v>22</v>
      </c>
      <c r="D254">
        <v>3</v>
      </c>
      <c r="E254" t="s">
        <v>569</v>
      </c>
      <c r="F254" t="s">
        <v>577</v>
      </c>
    </row>
    <row r="255" spans="1:21">
      <c r="A255" t="s">
        <v>104</v>
      </c>
      <c r="B255" t="s">
        <v>170</v>
      </c>
      <c r="C255">
        <v>7</v>
      </c>
      <c r="D255">
        <v>3</v>
      </c>
      <c r="E255" t="s">
        <v>569</v>
      </c>
      <c r="F255" t="s">
        <v>577</v>
      </c>
    </row>
    <row r="256" spans="1:21">
      <c r="A256" t="s">
        <v>96</v>
      </c>
      <c r="B256" t="s">
        <v>149</v>
      </c>
      <c r="C256">
        <v>12</v>
      </c>
      <c r="D256">
        <v>3</v>
      </c>
      <c r="E256" t="s">
        <v>569</v>
      </c>
      <c r="F256" t="s">
        <v>578</v>
      </c>
    </row>
    <row r="257" spans="1:6">
      <c r="A257" t="s">
        <v>96</v>
      </c>
      <c r="B257" t="s">
        <v>91</v>
      </c>
      <c r="C257">
        <v>18</v>
      </c>
      <c r="D257">
        <v>3</v>
      </c>
      <c r="E257" t="s">
        <v>569</v>
      </c>
      <c r="F257" t="s">
        <v>579</v>
      </c>
    </row>
    <row r="258" spans="1:6">
      <c r="A258" t="s">
        <v>96</v>
      </c>
      <c r="B258" t="s">
        <v>50</v>
      </c>
      <c r="C258">
        <v>32</v>
      </c>
      <c r="D258">
        <v>3</v>
      </c>
      <c r="E258" t="s">
        <v>569</v>
      </c>
      <c r="F258" t="s">
        <v>580</v>
      </c>
    </row>
    <row r="259" spans="1:6">
      <c r="A259" t="s">
        <v>96</v>
      </c>
      <c r="B259" t="s">
        <v>122</v>
      </c>
      <c r="C259">
        <v>17</v>
      </c>
      <c r="D259">
        <v>3</v>
      </c>
      <c r="E259" t="s">
        <v>569</v>
      </c>
      <c r="F259" t="s">
        <v>581</v>
      </c>
    </row>
    <row r="260" spans="1:6">
      <c r="A260" t="s">
        <v>104</v>
      </c>
      <c r="B260" t="s">
        <v>80</v>
      </c>
      <c r="C260">
        <v>11</v>
      </c>
      <c r="D260">
        <v>3</v>
      </c>
      <c r="E260" t="s">
        <v>569</v>
      </c>
      <c r="F260" t="s">
        <v>582</v>
      </c>
    </row>
    <row r="261" spans="1:6">
      <c r="A261" t="s">
        <v>104</v>
      </c>
      <c r="B261" t="s">
        <v>63</v>
      </c>
      <c r="C261">
        <v>13</v>
      </c>
      <c r="D261">
        <v>3</v>
      </c>
      <c r="E261" t="s">
        <v>569</v>
      </c>
      <c r="F261" t="s">
        <v>576</v>
      </c>
    </row>
    <row r="262" spans="1:6">
      <c r="A262" t="s">
        <v>104</v>
      </c>
      <c r="B262" t="s">
        <v>122</v>
      </c>
      <c r="C262">
        <v>14</v>
      </c>
      <c r="D262">
        <v>3</v>
      </c>
      <c r="E262" t="s">
        <v>569</v>
      </c>
      <c r="F262" t="s">
        <v>581</v>
      </c>
    </row>
    <row r="263" spans="1:6">
      <c r="A263" t="s">
        <v>104</v>
      </c>
      <c r="B263" t="s">
        <v>91</v>
      </c>
      <c r="C263">
        <v>17</v>
      </c>
      <c r="D263">
        <v>3</v>
      </c>
      <c r="E263" t="s">
        <v>569</v>
      </c>
      <c r="F263" t="s">
        <v>579</v>
      </c>
    </row>
    <row r="264" spans="1:6">
      <c r="A264" t="s">
        <v>104</v>
      </c>
      <c r="B264" t="s">
        <v>149</v>
      </c>
      <c r="C264">
        <v>18</v>
      </c>
      <c r="D264">
        <v>3</v>
      </c>
      <c r="E264" t="s">
        <v>569</v>
      </c>
      <c r="F264" t="s">
        <v>578</v>
      </c>
    </row>
    <row r="265" spans="1:6">
      <c r="A265" t="s">
        <v>104</v>
      </c>
      <c r="B265" t="s">
        <v>96</v>
      </c>
      <c r="C265">
        <v>33</v>
      </c>
      <c r="D265">
        <v>3</v>
      </c>
      <c r="E265" t="s">
        <v>569</v>
      </c>
      <c r="F265" t="s">
        <v>583</v>
      </c>
    </row>
    <row r="266" spans="1:6">
      <c r="A266" t="s">
        <v>104</v>
      </c>
      <c r="B266" t="s">
        <v>22</v>
      </c>
      <c r="C266">
        <v>35</v>
      </c>
      <c r="D266">
        <v>3</v>
      </c>
      <c r="E266" t="s">
        <v>569</v>
      </c>
      <c r="F266" t="s">
        <v>575</v>
      </c>
    </row>
    <row r="267" spans="1:6">
      <c r="A267" t="s">
        <v>104</v>
      </c>
      <c r="B267" t="s">
        <v>50</v>
      </c>
      <c r="C267">
        <v>37</v>
      </c>
      <c r="D267">
        <v>3</v>
      </c>
      <c r="E267" t="s">
        <v>569</v>
      </c>
      <c r="F267" t="s">
        <v>580</v>
      </c>
    </row>
    <row r="268" spans="1:6">
      <c r="A268" t="s">
        <v>215</v>
      </c>
      <c r="B268" t="s">
        <v>80</v>
      </c>
      <c r="C268">
        <v>7</v>
      </c>
      <c r="D268">
        <v>3</v>
      </c>
      <c r="E268" t="s">
        <v>569</v>
      </c>
      <c r="F268" t="s">
        <v>582</v>
      </c>
    </row>
    <row r="269" spans="1:6">
      <c r="A269" t="s">
        <v>215</v>
      </c>
      <c r="B269" t="s">
        <v>96</v>
      </c>
      <c r="C269">
        <v>19</v>
      </c>
      <c r="D269">
        <v>3</v>
      </c>
      <c r="E269" t="s">
        <v>569</v>
      </c>
      <c r="F269" t="s">
        <v>583</v>
      </c>
    </row>
    <row r="270" spans="1:6">
      <c r="A270" t="s">
        <v>215</v>
      </c>
      <c r="B270" t="s">
        <v>50</v>
      </c>
      <c r="C270">
        <v>20</v>
      </c>
      <c r="D270">
        <v>3</v>
      </c>
      <c r="E270" t="s">
        <v>569</v>
      </c>
      <c r="F270" t="s">
        <v>580</v>
      </c>
    </row>
    <row r="271" spans="1:6">
      <c r="A271" t="s">
        <v>215</v>
      </c>
      <c r="B271" t="s">
        <v>149</v>
      </c>
      <c r="C271">
        <v>22</v>
      </c>
      <c r="D271">
        <v>3</v>
      </c>
      <c r="E271" t="s">
        <v>569</v>
      </c>
      <c r="F271" t="s">
        <v>578</v>
      </c>
    </row>
    <row r="272" spans="1:6">
      <c r="A272" t="s">
        <v>215</v>
      </c>
      <c r="B272" t="s">
        <v>165</v>
      </c>
      <c r="C272">
        <v>24</v>
      </c>
      <c r="D272">
        <v>3</v>
      </c>
      <c r="E272" t="s">
        <v>569</v>
      </c>
      <c r="F272" t="s">
        <v>573</v>
      </c>
    </row>
    <row r="273" spans="1:6">
      <c r="A273" t="s">
        <v>215</v>
      </c>
      <c r="B273" t="s">
        <v>22</v>
      </c>
      <c r="C273">
        <v>26</v>
      </c>
      <c r="D273">
        <v>3</v>
      </c>
      <c r="E273" t="s">
        <v>569</v>
      </c>
      <c r="F273" t="s">
        <v>575</v>
      </c>
    </row>
    <row r="274" spans="1:6">
      <c r="A274" t="s">
        <v>215</v>
      </c>
      <c r="B274" t="s">
        <v>170</v>
      </c>
      <c r="C274">
        <v>30</v>
      </c>
      <c r="D274">
        <v>3</v>
      </c>
      <c r="E274" t="s">
        <v>569</v>
      </c>
      <c r="F274" t="s">
        <v>577</v>
      </c>
    </row>
    <row r="275" spans="1:6">
      <c r="A275" t="s">
        <v>215</v>
      </c>
      <c r="B275" t="s">
        <v>91</v>
      </c>
      <c r="C275">
        <v>34</v>
      </c>
      <c r="D275">
        <v>3</v>
      </c>
      <c r="E275" t="s">
        <v>569</v>
      </c>
      <c r="F275" t="s">
        <v>579</v>
      </c>
    </row>
    <row r="276" spans="1:6">
      <c r="A276" t="s">
        <v>215</v>
      </c>
      <c r="B276" t="s">
        <v>63</v>
      </c>
      <c r="C276">
        <v>35</v>
      </c>
      <c r="D276">
        <v>3</v>
      </c>
      <c r="E276" t="s">
        <v>569</v>
      </c>
      <c r="F276" t="s">
        <v>576</v>
      </c>
    </row>
    <row r="277" spans="1:6">
      <c r="A277" t="s">
        <v>63</v>
      </c>
      <c r="B277" t="s">
        <v>215</v>
      </c>
      <c r="C277">
        <v>6</v>
      </c>
      <c r="D277">
        <v>3</v>
      </c>
      <c r="E277" t="s">
        <v>569</v>
      </c>
      <c r="F277" t="s">
        <v>574</v>
      </c>
    </row>
    <row r="278" spans="1:6">
      <c r="A278" t="s">
        <v>63</v>
      </c>
      <c r="B278" t="s">
        <v>149</v>
      </c>
      <c r="C278">
        <v>15</v>
      </c>
      <c r="D278">
        <v>3</v>
      </c>
      <c r="E278" t="s">
        <v>569</v>
      </c>
      <c r="F278" t="s">
        <v>578</v>
      </c>
    </row>
    <row r="279" spans="1:6">
      <c r="A279" t="s">
        <v>63</v>
      </c>
      <c r="B279" t="s">
        <v>50</v>
      </c>
      <c r="C279">
        <v>22</v>
      </c>
      <c r="D279">
        <v>3</v>
      </c>
      <c r="E279" t="s">
        <v>569</v>
      </c>
      <c r="F279" t="s">
        <v>580</v>
      </c>
    </row>
    <row r="280" spans="1:6">
      <c r="A280" t="s">
        <v>63</v>
      </c>
      <c r="B280" t="s">
        <v>170</v>
      </c>
      <c r="C280">
        <v>24</v>
      </c>
      <c r="D280">
        <v>3</v>
      </c>
      <c r="E280" t="s">
        <v>569</v>
      </c>
      <c r="F280" t="s">
        <v>577</v>
      </c>
    </row>
    <row r="281" spans="1:6">
      <c r="A281" t="s">
        <v>63</v>
      </c>
      <c r="B281" t="s">
        <v>91</v>
      </c>
      <c r="C281">
        <v>25</v>
      </c>
      <c r="D281">
        <v>3</v>
      </c>
      <c r="E281" t="s">
        <v>569</v>
      </c>
      <c r="F281" t="s">
        <v>579</v>
      </c>
    </row>
    <row r="282" spans="1:6">
      <c r="A282" t="s">
        <v>63</v>
      </c>
      <c r="B282" t="s">
        <v>80</v>
      </c>
      <c r="C282">
        <v>27</v>
      </c>
      <c r="D282">
        <v>3</v>
      </c>
      <c r="E282" t="s">
        <v>569</v>
      </c>
      <c r="F282" t="s">
        <v>582</v>
      </c>
    </row>
    <row r="283" spans="1:6">
      <c r="A283" t="s">
        <v>63</v>
      </c>
      <c r="B283" t="s">
        <v>165</v>
      </c>
      <c r="C283">
        <v>29</v>
      </c>
      <c r="D283">
        <v>3</v>
      </c>
      <c r="E283" t="s">
        <v>569</v>
      </c>
      <c r="F283" t="s">
        <v>573</v>
      </c>
    </row>
    <row r="284" spans="1:6">
      <c r="A284" t="s">
        <v>63</v>
      </c>
      <c r="B284" t="s">
        <v>122</v>
      </c>
      <c r="C284">
        <v>31</v>
      </c>
      <c r="D284">
        <v>3</v>
      </c>
      <c r="E284" t="s">
        <v>569</v>
      </c>
      <c r="F284" t="s">
        <v>581</v>
      </c>
    </row>
    <row r="285" spans="1:6">
      <c r="A285" t="s">
        <v>34</v>
      </c>
      <c r="B285" t="s">
        <v>165</v>
      </c>
      <c r="C285">
        <v>6</v>
      </c>
      <c r="D285">
        <v>3</v>
      </c>
      <c r="E285" t="s">
        <v>569</v>
      </c>
      <c r="F285" t="s">
        <v>573</v>
      </c>
    </row>
    <row r="286" spans="1:6">
      <c r="A286" t="s">
        <v>34</v>
      </c>
      <c r="B286" t="s">
        <v>96</v>
      </c>
      <c r="C286">
        <v>13</v>
      </c>
      <c r="D286">
        <v>3</v>
      </c>
      <c r="E286" t="s">
        <v>569</v>
      </c>
      <c r="F286" t="s">
        <v>583</v>
      </c>
    </row>
    <row r="287" spans="1:6">
      <c r="A287" t="s">
        <v>34</v>
      </c>
      <c r="B287" t="s">
        <v>170</v>
      </c>
      <c r="C287">
        <v>14</v>
      </c>
      <c r="D287">
        <v>3</v>
      </c>
      <c r="E287" t="s">
        <v>569</v>
      </c>
      <c r="F287" t="s">
        <v>577</v>
      </c>
    </row>
    <row r="288" spans="1:6">
      <c r="A288" t="s">
        <v>34</v>
      </c>
      <c r="B288" t="s">
        <v>149</v>
      </c>
      <c r="C288">
        <v>17</v>
      </c>
      <c r="D288">
        <v>3</v>
      </c>
      <c r="E288" t="s">
        <v>569</v>
      </c>
      <c r="F288" t="s">
        <v>578</v>
      </c>
    </row>
    <row r="289" spans="1:6">
      <c r="A289" t="s">
        <v>34</v>
      </c>
      <c r="B289" t="s">
        <v>122</v>
      </c>
      <c r="C289">
        <v>18</v>
      </c>
      <c r="D289">
        <v>3</v>
      </c>
      <c r="E289" t="s">
        <v>569</v>
      </c>
      <c r="F289" t="s">
        <v>581</v>
      </c>
    </row>
    <row r="290" spans="1:6">
      <c r="A290" t="s">
        <v>34</v>
      </c>
      <c r="B290" t="s">
        <v>63</v>
      </c>
      <c r="C290">
        <v>21</v>
      </c>
      <c r="D290">
        <v>3</v>
      </c>
      <c r="E290" t="s">
        <v>569</v>
      </c>
      <c r="F290" t="s">
        <v>576</v>
      </c>
    </row>
    <row r="291" spans="1:6">
      <c r="A291" t="s">
        <v>34</v>
      </c>
      <c r="B291" t="s">
        <v>80</v>
      </c>
      <c r="C291">
        <v>23</v>
      </c>
      <c r="D291">
        <v>3</v>
      </c>
      <c r="E291" t="s">
        <v>569</v>
      </c>
      <c r="F291" t="s">
        <v>582</v>
      </c>
    </row>
    <row r="292" spans="1:6">
      <c r="A292" t="s">
        <v>34</v>
      </c>
      <c r="B292" t="s">
        <v>22</v>
      </c>
      <c r="C292">
        <v>29</v>
      </c>
      <c r="D292">
        <v>3</v>
      </c>
      <c r="E292" t="s">
        <v>569</v>
      </c>
      <c r="F292" t="s">
        <v>575</v>
      </c>
    </row>
    <row r="293" spans="1:6">
      <c r="A293" t="s">
        <v>34</v>
      </c>
      <c r="B293" t="s">
        <v>215</v>
      </c>
      <c r="C293">
        <v>31</v>
      </c>
      <c r="D293">
        <v>3</v>
      </c>
      <c r="E293" t="s">
        <v>569</v>
      </c>
      <c r="F293" t="s">
        <v>574</v>
      </c>
    </row>
    <row r="294" spans="1:6">
      <c r="A294" t="s">
        <v>34</v>
      </c>
      <c r="B294" t="s">
        <v>50</v>
      </c>
      <c r="C294">
        <v>33</v>
      </c>
      <c r="D294">
        <v>3</v>
      </c>
      <c r="E294" t="s">
        <v>569</v>
      </c>
      <c r="F294" t="s">
        <v>580</v>
      </c>
    </row>
    <row r="295" spans="1:6">
      <c r="A295" t="s">
        <v>34</v>
      </c>
      <c r="B295" t="s">
        <v>91</v>
      </c>
      <c r="C295">
        <v>36</v>
      </c>
      <c r="D295">
        <v>3</v>
      </c>
      <c r="E295" t="s">
        <v>569</v>
      </c>
      <c r="F295" t="s">
        <v>579</v>
      </c>
    </row>
    <row r="296" spans="1:6">
      <c r="A296" t="s">
        <v>158</v>
      </c>
      <c r="B296" t="s">
        <v>50</v>
      </c>
      <c r="C296">
        <v>7</v>
      </c>
      <c r="D296">
        <v>3</v>
      </c>
      <c r="E296" t="s">
        <v>569</v>
      </c>
      <c r="F296" t="s">
        <v>580</v>
      </c>
    </row>
    <row r="297" spans="1:6">
      <c r="A297" t="s">
        <v>158</v>
      </c>
      <c r="B297" t="s">
        <v>165</v>
      </c>
      <c r="C297">
        <v>10</v>
      </c>
      <c r="D297">
        <v>3</v>
      </c>
      <c r="E297" t="s">
        <v>569</v>
      </c>
      <c r="F297" t="s">
        <v>573</v>
      </c>
    </row>
    <row r="298" spans="1:6">
      <c r="A298" t="s">
        <v>158</v>
      </c>
      <c r="B298" t="s">
        <v>170</v>
      </c>
      <c r="C298">
        <v>12</v>
      </c>
      <c r="D298">
        <v>3</v>
      </c>
      <c r="E298" t="s">
        <v>569</v>
      </c>
      <c r="F298" t="s">
        <v>577</v>
      </c>
    </row>
    <row r="299" spans="1:6">
      <c r="A299" t="s">
        <v>158</v>
      </c>
      <c r="B299" t="s">
        <v>91</v>
      </c>
      <c r="C299">
        <v>20</v>
      </c>
      <c r="D299">
        <v>3</v>
      </c>
      <c r="E299" t="s">
        <v>569</v>
      </c>
      <c r="F299" t="s">
        <v>579</v>
      </c>
    </row>
    <row r="300" spans="1:6">
      <c r="A300" t="s">
        <v>158</v>
      </c>
      <c r="B300" t="s">
        <v>22</v>
      </c>
      <c r="C300">
        <v>22</v>
      </c>
      <c r="D300">
        <v>3</v>
      </c>
      <c r="E300" t="s">
        <v>569</v>
      </c>
      <c r="F300" t="s">
        <v>575</v>
      </c>
    </row>
    <row r="301" spans="1:6">
      <c r="A301" t="s">
        <v>158</v>
      </c>
      <c r="B301" t="s">
        <v>80</v>
      </c>
      <c r="C301">
        <v>25</v>
      </c>
      <c r="D301">
        <v>3</v>
      </c>
      <c r="E301" t="s">
        <v>569</v>
      </c>
      <c r="F301" t="s">
        <v>582</v>
      </c>
    </row>
    <row r="302" spans="1:6">
      <c r="A302" t="s">
        <v>158</v>
      </c>
      <c r="B302" t="s">
        <v>215</v>
      </c>
      <c r="C302">
        <v>27</v>
      </c>
      <c r="D302">
        <v>3</v>
      </c>
      <c r="E302" t="s">
        <v>569</v>
      </c>
      <c r="F302" t="s">
        <v>574</v>
      </c>
    </row>
    <row r="303" spans="1:6">
      <c r="A303" t="s">
        <v>158</v>
      </c>
      <c r="B303" t="s">
        <v>122</v>
      </c>
      <c r="C303">
        <v>35</v>
      </c>
      <c r="D303">
        <v>3</v>
      </c>
      <c r="E303" t="s">
        <v>569</v>
      </c>
      <c r="F303" t="s">
        <v>581</v>
      </c>
    </row>
    <row r="304" spans="1:6">
      <c r="A304" t="s">
        <v>158</v>
      </c>
      <c r="B304" t="s">
        <v>96</v>
      </c>
      <c r="C304">
        <v>37</v>
      </c>
      <c r="D304">
        <v>3</v>
      </c>
      <c r="E304" t="s">
        <v>569</v>
      </c>
      <c r="F304" t="s">
        <v>583</v>
      </c>
    </row>
    <row r="305" spans="1:6">
      <c r="A305" t="s">
        <v>75</v>
      </c>
      <c r="B305" t="s">
        <v>122</v>
      </c>
      <c r="C305">
        <v>7</v>
      </c>
      <c r="D305">
        <v>3</v>
      </c>
      <c r="E305" t="s">
        <v>569</v>
      </c>
      <c r="F305" t="s">
        <v>581</v>
      </c>
    </row>
    <row r="306" spans="1:6">
      <c r="A306" t="s">
        <v>75</v>
      </c>
      <c r="B306" t="s">
        <v>50</v>
      </c>
      <c r="C306">
        <v>10</v>
      </c>
      <c r="D306">
        <v>3</v>
      </c>
      <c r="E306" t="s">
        <v>569</v>
      </c>
      <c r="F306" t="s">
        <v>580</v>
      </c>
    </row>
    <row r="307" spans="1:6">
      <c r="A307" t="s">
        <v>75</v>
      </c>
      <c r="B307" t="s">
        <v>22</v>
      </c>
      <c r="C307">
        <v>12</v>
      </c>
      <c r="D307">
        <v>3</v>
      </c>
      <c r="E307" t="s">
        <v>569</v>
      </c>
      <c r="F307" t="s">
        <v>575</v>
      </c>
    </row>
    <row r="308" spans="1:6">
      <c r="A308" t="s">
        <v>75</v>
      </c>
      <c r="B308" t="s">
        <v>96</v>
      </c>
      <c r="C308">
        <v>16</v>
      </c>
      <c r="D308">
        <v>3</v>
      </c>
      <c r="E308" t="s">
        <v>569</v>
      </c>
      <c r="F308" t="s">
        <v>583</v>
      </c>
    </row>
    <row r="309" spans="1:6">
      <c r="A309" t="s">
        <v>75</v>
      </c>
      <c r="B309" t="s">
        <v>165</v>
      </c>
      <c r="C309">
        <v>22</v>
      </c>
      <c r="D309">
        <v>3</v>
      </c>
      <c r="E309" t="s">
        <v>569</v>
      </c>
      <c r="F309" t="s">
        <v>573</v>
      </c>
    </row>
    <row r="310" spans="1:6">
      <c r="A310" t="s">
        <v>75</v>
      </c>
      <c r="B310" t="s">
        <v>91</v>
      </c>
      <c r="C310">
        <v>24</v>
      </c>
      <c r="D310">
        <v>3</v>
      </c>
      <c r="E310" t="s">
        <v>569</v>
      </c>
      <c r="F310" t="s">
        <v>579</v>
      </c>
    </row>
    <row r="311" spans="1:6">
      <c r="A311" t="s">
        <v>75</v>
      </c>
      <c r="B311" t="s">
        <v>63</v>
      </c>
      <c r="C311">
        <v>26</v>
      </c>
      <c r="D311">
        <v>3</v>
      </c>
      <c r="E311" t="s">
        <v>569</v>
      </c>
      <c r="F311" t="s">
        <v>576</v>
      </c>
    </row>
    <row r="312" spans="1:6">
      <c r="A312" t="s">
        <v>75</v>
      </c>
      <c r="B312" t="s">
        <v>215</v>
      </c>
      <c r="C312">
        <v>33</v>
      </c>
      <c r="D312">
        <v>3</v>
      </c>
      <c r="E312" t="s">
        <v>569</v>
      </c>
      <c r="F312" t="s">
        <v>574</v>
      </c>
    </row>
    <row r="313" spans="1:6">
      <c r="A313" t="s">
        <v>75</v>
      </c>
      <c r="B313" t="s">
        <v>80</v>
      </c>
      <c r="C313">
        <v>35</v>
      </c>
      <c r="D313">
        <v>3</v>
      </c>
      <c r="E313" t="s">
        <v>569</v>
      </c>
      <c r="F313" t="s">
        <v>582</v>
      </c>
    </row>
    <row r="314" spans="1:6">
      <c r="A314" t="s">
        <v>75</v>
      </c>
      <c r="B314" t="s">
        <v>149</v>
      </c>
      <c r="C314">
        <v>37</v>
      </c>
      <c r="D314">
        <v>3</v>
      </c>
      <c r="E314" t="s">
        <v>569</v>
      </c>
      <c r="F314" t="s">
        <v>578</v>
      </c>
    </row>
    <row r="315" spans="1:6">
      <c r="A315" t="s">
        <v>91</v>
      </c>
      <c r="B315" t="s">
        <v>122</v>
      </c>
      <c r="C315">
        <v>9</v>
      </c>
      <c r="D315">
        <v>3</v>
      </c>
      <c r="E315" t="s">
        <v>569</v>
      </c>
      <c r="F315" t="s">
        <v>581</v>
      </c>
    </row>
    <row r="316" spans="1:6">
      <c r="A316" t="s">
        <v>91</v>
      </c>
      <c r="B316" t="s">
        <v>215</v>
      </c>
      <c r="C316">
        <v>14</v>
      </c>
      <c r="D316">
        <v>3</v>
      </c>
      <c r="E316" t="s">
        <v>569</v>
      </c>
      <c r="F316" t="s">
        <v>574</v>
      </c>
    </row>
    <row r="317" spans="1:6">
      <c r="A317" t="s">
        <v>91</v>
      </c>
      <c r="B317" t="s">
        <v>165</v>
      </c>
      <c r="C317">
        <v>16</v>
      </c>
      <c r="D317">
        <v>3</v>
      </c>
      <c r="E317" t="s">
        <v>569</v>
      </c>
      <c r="F317" t="s">
        <v>573</v>
      </c>
    </row>
    <row r="318" spans="1:6">
      <c r="A318" t="s">
        <v>91</v>
      </c>
      <c r="B318" t="s">
        <v>63</v>
      </c>
      <c r="C318">
        <v>19</v>
      </c>
      <c r="D318">
        <v>3</v>
      </c>
      <c r="E318" t="s">
        <v>569</v>
      </c>
      <c r="F318" t="s">
        <v>576</v>
      </c>
    </row>
    <row r="319" spans="1:6">
      <c r="A319" t="s">
        <v>91</v>
      </c>
      <c r="B319" t="s">
        <v>96</v>
      </c>
      <c r="C319">
        <v>26</v>
      </c>
      <c r="D319">
        <v>3</v>
      </c>
      <c r="E319" t="s">
        <v>569</v>
      </c>
      <c r="F319" t="s">
        <v>583</v>
      </c>
    </row>
    <row r="320" spans="1:6">
      <c r="A320" t="s">
        <v>91</v>
      </c>
      <c r="B320" t="s">
        <v>170</v>
      </c>
      <c r="C320">
        <v>35</v>
      </c>
      <c r="D320">
        <v>3</v>
      </c>
      <c r="E320" t="s">
        <v>569</v>
      </c>
      <c r="F320" t="s">
        <v>577</v>
      </c>
    </row>
    <row r="321" spans="1:6">
      <c r="A321" t="s">
        <v>91</v>
      </c>
      <c r="B321" t="s">
        <v>80</v>
      </c>
      <c r="C321">
        <v>37</v>
      </c>
      <c r="D321">
        <v>3</v>
      </c>
      <c r="E321" t="s">
        <v>569</v>
      </c>
      <c r="F321" t="s">
        <v>582</v>
      </c>
    </row>
    <row r="322" spans="1:6">
      <c r="A322" t="s">
        <v>50</v>
      </c>
      <c r="B322" t="s">
        <v>80</v>
      </c>
      <c r="C322">
        <v>9</v>
      </c>
      <c r="D322">
        <v>3</v>
      </c>
      <c r="E322" t="s">
        <v>569</v>
      </c>
      <c r="F322" t="s">
        <v>582</v>
      </c>
    </row>
    <row r="323" spans="1:6">
      <c r="A323" t="s">
        <v>50</v>
      </c>
      <c r="B323" t="s">
        <v>63</v>
      </c>
      <c r="C323">
        <v>11</v>
      </c>
      <c r="D323">
        <v>3</v>
      </c>
      <c r="E323" t="s">
        <v>569</v>
      </c>
      <c r="F323" t="s">
        <v>576</v>
      </c>
    </row>
    <row r="324" spans="1:6">
      <c r="A324" t="s">
        <v>50</v>
      </c>
      <c r="B324" t="s">
        <v>215</v>
      </c>
      <c r="C324">
        <v>13</v>
      </c>
      <c r="D324">
        <v>3</v>
      </c>
      <c r="E324" t="s">
        <v>569</v>
      </c>
      <c r="F324" t="s">
        <v>574</v>
      </c>
    </row>
    <row r="325" spans="1:6">
      <c r="A325" t="s">
        <v>50</v>
      </c>
      <c r="B325" t="s">
        <v>170</v>
      </c>
      <c r="C325">
        <v>16</v>
      </c>
      <c r="D325">
        <v>3</v>
      </c>
      <c r="E325" t="s">
        <v>569</v>
      </c>
      <c r="F325" t="s">
        <v>577</v>
      </c>
    </row>
    <row r="326" spans="1:6">
      <c r="A326" t="s">
        <v>50</v>
      </c>
      <c r="B326" t="s">
        <v>22</v>
      </c>
      <c r="C326">
        <v>19</v>
      </c>
      <c r="D326">
        <v>3</v>
      </c>
      <c r="E326" t="s">
        <v>569</v>
      </c>
      <c r="F326" t="s">
        <v>575</v>
      </c>
    </row>
    <row r="327" spans="1:6">
      <c r="A327" t="s">
        <v>50</v>
      </c>
      <c r="B327" t="s">
        <v>165</v>
      </c>
      <c r="C327">
        <v>26</v>
      </c>
      <c r="D327">
        <v>3</v>
      </c>
      <c r="E327" t="s">
        <v>569</v>
      </c>
      <c r="F327" t="s">
        <v>573</v>
      </c>
    </row>
    <row r="328" spans="1:6">
      <c r="A328" t="s">
        <v>50</v>
      </c>
      <c r="B328" t="s">
        <v>91</v>
      </c>
      <c r="C328">
        <v>31</v>
      </c>
      <c r="D328">
        <v>3</v>
      </c>
      <c r="E328" t="s">
        <v>569</v>
      </c>
      <c r="F328" t="s">
        <v>579</v>
      </c>
    </row>
    <row r="329" spans="1:6">
      <c r="A329" t="s">
        <v>50</v>
      </c>
      <c r="B329" t="s">
        <v>149</v>
      </c>
      <c r="C329">
        <v>34</v>
      </c>
      <c r="D329">
        <v>3</v>
      </c>
      <c r="E329" t="s">
        <v>569</v>
      </c>
      <c r="F329" t="s">
        <v>578</v>
      </c>
    </row>
    <row r="330" spans="1:6">
      <c r="A330" t="s">
        <v>149</v>
      </c>
      <c r="B330" t="s">
        <v>215</v>
      </c>
      <c r="C330">
        <v>9</v>
      </c>
      <c r="D330">
        <v>3</v>
      </c>
      <c r="E330" t="s">
        <v>569</v>
      </c>
      <c r="F330" t="s">
        <v>574</v>
      </c>
    </row>
    <row r="331" spans="1:6">
      <c r="A331" t="s">
        <v>149</v>
      </c>
      <c r="B331" t="s">
        <v>122</v>
      </c>
      <c r="C331">
        <v>13</v>
      </c>
      <c r="D331">
        <v>3</v>
      </c>
      <c r="E331" t="s">
        <v>569</v>
      </c>
      <c r="F331" t="s">
        <v>581</v>
      </c>
    </row>
    <row r="332" spans="1:6">
      <c r="A332" t="s">
        <v>149</v>
      </c>
      <c r="B332" t="s">
        <v>50</v>
      </c>
      <c r="C332">
        <v>14</v>
      </c>
      <c r="D332">
        <v>3</v>
      </c>
      <c r="E332" t="s">
        <v>569</v>
      </c>
      <c r="F332" t="s">
        <v>580</v>
      </c>
    </row>
    <row r="333" spans="1:6">
      <c r="A333" t="s">
        <v>149</v>
      </c>
      <c r="B333" t="s">
        <v>22</v>
      </c>
      <c r="C333">
        <v>16</v>
      </c>
      <c r="D333">
        <v>3</v>
      </c>
      <c r="E333" t="s">
        <v>569</v>
      </c>
      <c r="F333" t="s">
        <v>575</v>
      </c>
    </row>
    <row r="334" spans="1:6">
      <c r="A334" t="s">
        <v>149</v>
      </c>
      <c r="B334" t="s">
        <v>170</v>
      </c>
      <c r="C334">
        <v>19</v>
      </c>
      <c r="D334">
        <v>3</v>
      </c>
      <c r="E334" t="s">
        <v>569</v>
      </c>
      <c r="F334" t="s">
        <v>577</v>
      </c>
    </row>
    <row r="335" spans="1:6">
      <c r="A335" t="s">
        <v>149</v>
      </c>
      <c r="B335" t="s">
        <v>80</v>
      </c>
      <c r="C335">
        <v>21</v>
      </c>
      <c r="D335">
        <v>3</v>
      </c>
      <c r="E335" t="s">
        <v>569</v>
      </c>
      <c r="F335" t="s">
        <v>582</v>
      </c>
    </row>
    <row r="336" spans="1:6">
      <c r="A336" t="s">
        <v>149</v>
      </c>
      <c r="B336" t="s">
        <v>96</v>
      </c>
      <c r="C336">
        <v>23</v>
      </c>
      <c r="D336">
        <v>3</v>
      </c>
      <c r="E336" t="s">
        <v>569</v>
      </c>
      <c r="F336" t="s">
        <v>583</v>
      </c>
    </row>
    <row r="337" spans="1:6">
      <c r="A337" t="s">
        <v>149</v>
      </c>
      <c r="B337" t="s">
        <v>91</v>
      </c>
      <c r="C337">
        <v>29</v>
      </c>
      <c r="D337">
        <v>3</v>
      </c>
      <c r="E337" t="s">
        <v>569</v>
      </c>
      <c r="F337" t="s">
        <v>579</v>
      </c>
    </row>
    <row r="338" spans="1:6">
      <c r="A338" t="s">
        <v>149</v>
      </c>
      <c r="B338" t="s">
        <v>63</v>
      </c>
      <c r="C338">
        <v>33</v>
      </c>
      <c r="D338">
        <v>3</v>
      </c>
      <c r="E338" t="s">
        <v>569</v>
      </c>
      <c r="F338" t="s">
        <v>576</v>
      </c>
    </row>
    <row r="339" spans="1:6">
      <c r="A339" t="s">
        <v>45</v>
      </c>
      <c r="B339" t="s">
        <v>149</v>
      </c>
      <c r="C339">
        <v>7</v>
      </c>
      <c r="D339">
        <v>3</v>
      </c>
      <c r="E339" t="s">
        <v>569</v>
      </c>
      <c r="F339" t="s">
        <v>578</v>
      </c>
    </row>
    <row r="340" spans="1:6">
      <c r="A340" t="s">
        <v>45</v>
      </c>
      <c r="B340" t="s">
        <v>91</v>
      </c>
      <c r="C340">
        <v>12</v>
      </c>
      <c r="D340">
        <v>3</v>
      </c>
      <c r="E340" t="s">
        <v>569</v>
      </c>
      <c r="F340" t="s">
        <v>579</v>
      </c>
    </row>
    <row r="341" spans="1:6">
      <c r="A341" t="s">
        <v>45</v>
      </c>
      <c r="B341" t="s">
        <v>96</v>
      </c>
      <c r="C341">
        <v>14</v>
      </c>
      <c r="D341">
        <v>3</v>
      </c>
      <c r="E341" t="s">
        <v>569</v>
      </c>
      <c r="F341" t="s">
        <v>583</v>
      </c>
    </row>
    <row r="342" spans="1:6">
      <c r="A342" t="s">
        <v>45</v>
      </c>
      <c r="B342" t="s">
        <v>165</v>
      </c>
      <c r="C342">
        <v>19</v>
      </c>
      <c r="D342">
        <v>3</v>
      </c>
      <c r="E342" t="s">
        <v>569</v>
      </c>
      <c r="F342" t="s">
        <v>573</v>
      </c>
    </row>
    <row r="343" spans="1:6">
      <c r="A343" t="s">
        <v>45</v>
      </c>
      <c r="B343" t="s">
        <v>170</v>
      </c>
      <c r="C343">
        <v>20</v>
      </c>
      <c r="D343">
        <v>3</v>
      </c>
      <c r="E343" t="s">
        <v>569</v>
      </c>
      <c r="F343" t="s">
        <v>577</v>
      </c>
    </row>
    <row r="344" spans="1:6">
      <c r="A344" t="s">
        <v>45</v>
      </c>
      <c r="B344" t="s">
        <v>22</v>
      </c>
      <c r="C344">
        <v>28</v>
      </c>
      <c r="D344">
        <v>3</v>
      </c>
      <c r="E344" t="s">
        <v>569</v>
      </c>
      <c r="F344" t="s">
        <v>575</v>
      </c>
    </row>
    <row r="345" spans="1:6">
      <c r="A345" t="s">
        <v>45</v>
      </c>
      <c r="B345" t="s">
        <v>215</v>
      </c>
      <c r="C345">
        <v>29</v>
      </c>
      <c r="D345">
        <v>3</v>
      </c>
      <c r="E345" t="s">
        <v>569</v>
      </c>
      <c r="F345" t="s">
        <v>574</v>
      </c>
    </row>
    <row r="346" spans="1:6">
      <c r="A346" t="s">
        <v>45</v>
      </c>
      <c r="B346" t="s">
        <v>122</v>
      </c>
      <c r="C346">
        <v>33</v>
      </c>
      <c r="D346">
        <v>3</v>
      </c>
      <c r="E346" t="s">
        <v>569</v>
      </c>
      <c r="F346" t="s">
        <v>581</v>
      </c>
    </row>
    <row r="347" spans="1:6">
      <c r="A347" t="s">
        <v>45</v>
      </c>
      <c r="B347" t="s">
        <v>50</v>
      </c>
      <c r="C347">
        <v>35</v>
      </c>
      <c r="D347">
        <v>3</v>
      </c>
      <c r="E347" t="s">
        <v>569</v>
      </c>
      <c r="F347" t="s">
        <v>580</v>
      </c>
    </row>
    <row r="348" spans="1:6">
      <c r="A348" t="s">
        <v>45</v>
      </c>
      <c r="B348" t="s">
        <v>63</v>
      </c>
      <c r="C348">
        <v>37</v>
      </c>
      <c r="D348">
        <v>3</v>
      </c>
      <c r="E348" t="s">
        <v>569</v>
      </c>
      <c r="F348" t="s">
        <v>576</v>
      </c>
    </row>
    <row r="349" spans="1:6">
      <c r="A349" t="s">
        <v>66</v>
      </c>
      <c r="B349" t="s">
        <v>122</v>
      </c>
      <c r="C349">
        <v>11</v>
      </c>
      <c r="D349">
        <v>3</v>
      </c>
      <c r="E349" t="s">
        <v>569</v>
      </c>
      <c r="F349" t="s">
        <v>581</v>
      </c>
    </row>
    <row r="350" spans="1:6">
      <c r="A350" t="s">
        <v>66</v>
      </c>
      <c r="B350" t="s">
        <v>22</v>
      </c>
      <c r="C350">
        <v>14</v>
      </c>
      <c r="D350">
        <v>3</v>
      </c>
      <c r="E350" t="s">
        <v>569</v>
      </c>
      <c r="F350" t="s">
        <v>575</v>
      </c>
    </row>
    <row r="351" spans="1:6">
      <c r="A351" t="s">
        <v>66</v>
      </c>
      <c r="B351" t="s">
        <v>96</v>
      </c>
      <c r="C351">
        <v>21</v>
      </c>
      <c r="D351">
        <v>3</v>
      </c>
      <c r="E351" t="s">
        <v>569</v>
      </c>
      <c r="F351" t="s">
        <v>583</v>
      </c>
    </row>
    <row r="352" spans="1:6">
      <c r="A352" t="s">
        <v>66</v>
      </c>
      <c r="B352" t="s">
        <v>215</v>
      </c>
      <c r="C352">
        <v>23</v>
      </c>
      <c r="D352">
        <v>3</v>
      </c>
      <c r="E352" t="s">
        <v>569</v>
      </c>
      <c r="F352" t="s">
        <v>574</v>
      </c>
    </row>
    <row r="353" spans="1:6">
      <c r="A353" t="s">
        <v>66</v>
      </c>
      <c r="B353" t="s">
        <v>63</v>
      </c>
      <c r="C353">
        <v>28</v>
      </c>
      <c r="D353">
        <v>3</v>
      </c>
      <c r="E353" t="s">
        <v>569</v>
      </c>
      <c r="F353" t="s">
        <v>576</v>
      </c>
    </row>
    <row r="354" spans="1:6">
      <c r="A354" t="s">
        <v>66</v>
      </c>
      <c r="B354" t="s">
        <v>165</v>
      </c>
      <c r="C354">
        <v>31</v>
      </c>
      <c r="D354">
        <v>3</v>
      </c>
      <c r="E354" t="s">
        <v>569</v>
      </c>
      <c r="F354" t="s">
        <v>573</v>
      </c>
    </row>
    <row r="355" spans="1:6">
      <c r="A355" t="s">
        <v>66</v>
      </c>
      <c r="B355" t="s">
        <v>80</v>
      </c>
      <c r="C355">
        <v>33</v>
      </c>
      <c r="D355">
        <v>3</v>
      </c>
      <c r="E355" t="s">
        <v>569</v>
      </c>
      <c r="F355" t="s">
        <v>582</v>
      </c>
    </row>
    <row r="356" spans="1:6">
      <c r="A356" t="s">
        <v>66</v>
      </c>
      <c r="B356" t="s">
        <v>149</v>
      </c>
      <c r="C356">
        <v>35</v>
      </c>
      <c r="D356">
        <v>3</v>
      </c>
      <c r="E356" t="s">
        <v>569</v>
      </c>
      <c r="F356" t="s">
        <v>578</v>
      </c>
    </row>
    <row r="357" spans="1:6">
      <c r="A357" t="s">
        <v>66</v>
      </c>
      <c r="B357" t="s">
        <v>170</v>
      </c>
      <c r="C357">
        <v>37</v>
      </c>
      <c r="D357">
        <v>3</v>
      </c>
      <c r="E357" t="s">
        <v>569</v>
      </c>
      <c r="F357" t="s">
        <v>577</v>
      </c>
    </row>
    <row r="358" spans="1:6">
      <c r="A358" t="s">
        <v>22</v>
      </c>
      <c r="B358" t="s">
        <v>165</v>
      </c>
      <c r="C358">
        <v>8</v>
      </c>
      <c r="D358">
        <v>3</v>
      </c>
      <c r="E358" t="s">
        <v>569</v>
      </c>
      <c r="F358" t="s">
        <v>573</v>
      </c>
    </row>
    <row r="359" spans="1:6">
      <c r="A359" t="s">
        <v>22</v>
      </c>
      <c r="B359" t="s">
        <v>96</v>
      </c>
      <c r="C359">
        <v>9</v>
      </c>
      <c r="D359">
        <v>3</v>
      </c>
      <c r="E359" t="s">
        <v>569</v>
      </c>
      <c r="F359" t="s">
        <v>583</v>
      </c>
    </row>
    <row r="360" spans="1:6">
      <c r="A360" t="s">
        <v>22</v>
      </c>
      <c r="B360" t="s">
        <v>215</v>
      </c>
      <c r="C360">
        <v>17</v>
      </c>
      <c r="D360">
        <v>3</v>
      </c>
      <c r="E360" t="s">
        <v>569</v>
      </c>
      <c r="F360" t="s">
        <v>574</v>
      </c>
    </row>
    <row r="361" spans="1:6">
      <c r="A361" t="s">
        <v>22</v>
      </c>
      <c r="B361" t="s">
        <v>122</v>
      </c>
      <c r="C361">
        <v>21</v>
      </c>
      <c r="D361">
        <v>3</v>
      </c>
      <c r="E361" t="s">
        <v>569</v>
      </c>
      <c r="F361" t="s">
        <v>581</v>
      </c>
    </row>
    <row r="362" spans="1:6">
      <c r="A362" t="s">
        <v>22</v>
      </c>
      <c r="B362" t="s">
        <v>50</v>
      </c>
      <c r="C362">
        <v>25</v>
      </c>
      <c r="D362">
        <v>3</v>
      </c>
      <c r="E362" t="s">
        <v>569</v>
      </c>
      <c r="F362" t="s">
        <v>580</v>
      </c>
    </row>
    <row r="363" spans="1:6">
      <c r="A363" t="s">
        <v>22</v>
      </c>
      <c r="B363" t="s">
        <v>149</v>
      </c>
      <c r="C363">
        <v>27</v>
      </c>
      <c r="D363">
        <v>3</v>
      </c>
      <c r="E363" t="s">
        <v>569</v>
      </c>
      <c r="F363" t="s">
        <v>578</v>
      </c>
    </row>
    <row r="364" spans="1:6">
      <c r="A364" t="s">
        <v>22</v>
      </c>
      <c r="B364" t="s">
        <v>80</v>
      </c>
      <c r="C364">
        <v>30</v>
      </c>
      <c r="D364">
        <v>3</v>
      </c>
      <c r="E364" t="s">
        <v>569</v>
      </c>
      <c r="F364" t="s">
        <v>582</v>
      </c>
    </row>
    <row r="365" spans="1:6">
      <c r="A365" t="s">
        <v>22</v>
      </c>
      <c r="B365" t="s">
        <v>63</v>
      </c>
      <c r="C365">
        <v>32</v>
      </c>
      <c r="D365">
        <v>3</v>
      </c>
      <c r="E365" t="s">
        <v>569</v>
      </c>
      <c r="F365" t="s">
        <v>576</v>
      </c>
    </row>
    <row r="366" spans="1:6">
      <c r="A366" t="s">
        <v>22</v>
      </c>
      <c r="B366" t="s">
        <v>91</v>
      </c>
      <c r="C366">
        <v>38</v>
      </c>
      <c r="D366">
        <v>3</v>
      </c>
      <c r="E366" t="s">
        <v>569</v>
      </c>
      <c r="F366" t="s">
        <v>579</v>
      </c>
    </row>
    <row r="367" spans="1:6">
      <c r="A367" t="s">
        <v>117</v>
      </c>
      <c r="B367" t="s">
        <v>63</v>
      </c>
      <c r="C367">
        <v>7</v>
      </c>
      <c r="D367">
        <v>3</v>
      </c>
      <c r="E367" t="s">
        <v>569</v>
      </c>
      <c r="F367" t="s">
        <v>576</v>
      </c>
    </row>
    <row r="368" spans="1:6">
      <c r="A368" t="s">
        <v>117</v>
      </c>
      <c r="B368" t="s">
        <v>91</v>
      </c>
      <c r="C368">
        <v>10</v>
      </c>
      <c r="D368">
        <v>3</v>
      </c>
      <c r="E368" t="s">
        <v>569</v>
      </c>
      <c r="F368" t="s">
        <v>579</v>
      </c>
    </row>
    <row r="369" spans="1:6">
      <c r="A369" t="s">
        <v>117</v>
      </c>
      <c r="B369" t="s">
        <v>50</v>
      </c>
      <c r="C369">
        <v>12</v>
      </c>
      <c r="D369">
        <v>3</v>
      </c>
      <c r="E369" t="s">
        <v>569</v>
      </c>
      <c r="F369" t="s">
        <v>580</v>
      </c>
    </row>
    <row r="370" spans="1:6">
      <c r="A370" t="s">
        <v>117</v>
      </c>
      <c r="B370" t="s">
        <v>215</v>
      </c>
      <c r="C370">
        <v>18</v>
      </c>
      <c r="D370">
        <v>3</v>
      </c>
      <c r="E370" t="s">
        <v>569</v>
      </c>
      <c r="F370" t="s">
        <v>574</v>
      </c>
    </row>
    <row r="371" spans="1:6">
      <c r="A371" t="s">
        <v>117</v>
      </c>
      <c r="B371" t="s">
        <v>165</v>
      </c>
      <c r="C371">
        <v>20</v>
      </c>
      <c r="D371">
        <v>3</v>
      </c>
      <c r="E371" t="s">
        <v>569</v>
      </c>
      <c r="F371" t="s">
        <v>573</v>
      </c>
    </row>
    <row r="372" spans="1:6">
      <c r="A372" t="s">
        <v>117</v>
      </c>
      <c r="B372" t="s">
        <v>122</v>
      </c>
      <c r="C372">
        <v>27</v>
      </c>
      <c r="D372">
        <v>3</v>
      </c>
      <c r="E372" t="s">
        <v>569</v>
      </c>
      <c r="F372" t="s">
        <v>581</v>
      </c>
    </row>
    <row r="373" spans="1:6">
      <c r="A373" t="s">
        <v>117</v>
      </c>
      <c r="B373" t="s">
        <v>149</v>
      </c>
      <c r="C373">
        <v>30</v>
      </c>
      <c r="D373">
        <v>3</v>
      </c>
      <c r="E373" t="s">
        <v>569</v>
      </c>
      <c r="F373" t="s">
        <v>578</v>
      </c>
    </row>
    <row r="374" spans="1:6">
      <c r="A374" t="s">
        <v>117</v>
      </c>
      <c r="B374" t="s">
        <v>170</v>
      </c>
      <c r="C374">
        <v>32</v>
      </c>
      <c r="D374">
        <v>3</v>
      </c>
      <c r="E374" t="s">
        <v>569</v>
      </c>
      <c r="F374" t="s">
        <v>577</v>
      </c>
    </row>
    <row r="375" spans="1:6">
      <c r="A375" t="s">
        <v>117</v>
      </c>
      <c r="B375" t="s">
        <v>22</v>
      </c>
      <c r="C375">
        <v>33</v>
      </c>
      <c r="D375">
        <v>3</v>
      </c>
      <c r="E375" t="s">
        <v>569</v>
      </c>
      <c r="F375" t="s">
        <v>575</v>
      </c>
    </row>
    <row r="376" spans="1:6">
      <c r="A376" t="s">
        <v>54</v>
      </c>
      <c r="B376" t="s">
        <v>215</v>
      </c>
      <c r="C376">
        <v>8</v>
      </c>
      <c r="D376">
        <v>3</v>
      </c>
      <c r="E376" t="s">
        <v>569</v>
      </c>
      <c r="F376" t="s">
        <v>574</v>
      </c>
    </row>
    <row r="377" spans="1:6">
      <c r="A377" t="s">
        <v>54</v>
      </c>
      <c r="B377" t="s">
        <v>170</v>
      </c>
      <c r="C377">
        <v>10</v>
      </c>
      <c r="D377">
        <v>3</v>
      </c>
      <c r="E377" t="s">
        <v>569</v>
      </c>
      <c r="F377" t="s">
        <v>577</v>
      </c>
    </row>
    <row r="378" spans="1:6">
      <c r="A378" t="s">
        <v>54</v>
      </c>
      <c r="B378" t="s">
        <v>63</v>
      </c>
      <c r="C378">
        <v>14</v>
      </c>
      <c r="D378">
        <v>3</v>
      </c>
      <c r="E378" t="s">
        <v>569</v>
      </c>
      <c r="F378" t="s">
        <v>576</v>
      </c>
    </row>
    <row r="379" spans="1:6">
      <c r="A379" t="s">
        <v>54</v>
      </c>
      <c r="B379" t="s">
        <v>80</v>
      </c>
      <c r="C379">
        <v>17</v>
      </c>
      <c r="D379">
        <v>3</v>
      </c>
      <c r="E379" t="s">
        <v>569</v>
      </c>
      <c r="F379" t="s">
        <v>582</v>
      </c>
    </row>
    <row r="380" spans="1:6">
      <c r="A380" t="s">
        <v>54</v>
      </c>
      <c r="B380" t="s">
        <v>50</v>
      </c>
      <c r="C380">
        <v>18</v>
      </c>
      <c r="D380">
        <v>3</v>
      </c>
      <c r="E380" t="s">
        <v>569</v>
      </c>
      <c r="F380" t="s">
        <v>580</v>
      </c>
    </row>
    <row r="381" spans="1:6">
      <c r="A381" t="s">
        <v>54</v>
      </c>
      <c r="B381" t="s">
        <v>22</v>
      </c>
      <c r="C381">
        <v>20</v>
      </c>
      <c r="D381">
        <v>3</v>
      </c>
      <c r="E381" t="s">
        <v>569</v>
      </c>
      <c r="F381" t="s">
        <v>575</v>
      </c>
    </row>
    <row r="382" spans="1:6">
      <c r="A382" t="s">
        <v>54</v>
      </c>
      <c r="B382" t="s">
        <v>149</v>
      </c>
      <c r="C382">
        <v>24</v>
      </c>
      <c r="D382">
        <v>3</v>
      </c>
      <c r="E382" t="s">
        <v>569</v>
      </c>
      <c r="F382" t="s">
        <v>578</v>
      </c>
    </row>
    <row r="383" spans="1:6">
      <c r="A383" t="s">
        <v>54</v>
      </c>
      <c r="B383" t="s">
        <v>122</v>
      </c>
      <c r="C383">
        <v>25</v>
      </c>
      <c r="D383">
        <v>3</v>
      </c>
      <c r="E383" t="s">
        <v>569</v>
      </c>
      <c r="F383" t="s">
        <v>581</v>
      </c>
    </row>
    <row r="384" spans="1:6">
      <c r="A384" t="s">
        <v>54</v>
      </c>
      <c r="B384" t="s">
        <v>96</v>
      </c>
      <c r="C384">
        <v>31</v>
      </c>
      <c r="D384">
        <v>3</v>
      </c>
      <c r="E384" t="s">
        <v>569</v>
      </c>
      <c r="F384" t="s">
        <v>583</v>
      </c>
    </row>
    <row r="385" spans="1:6">
      <c r="A385" t="s">
        <v>54</v>
      </c>
      <c r="B385" t="s">
        <v>165</v>
      </c>
      <c r="C385">
        <v>38</v>
      </c>
      <c r="D385">
        <v>3</v>
      </c>
      <c r="E385" t="s">
        <v>569</v>
      </c>
      <c r="F385" t="s">
        <v>573</v>
      </c>
    </row>
    <row r="386" spans="1:6">
      <c r="A386" t="s">
        <v>177</v>
      </c>
      <c r="B386" t="s">
        <v>22</v>
      </c>
      <c r="C386">
        <v>7</v>
      </c>
      <c r="D386">
        <v>3</v>
      </c>
      <c r="E386" t="s">
        <v>569</v>
      </c>
      <c r="F386" t="s">
        <v>575</v>
      </c>
    </row>
    <row r="387" spans="1:6">
      <c r="A387" t="s">
        <v>177</v>
      </c>
      <c r="B387" t="s">
        <v>80</v>
      </c>
      <c r="C387">
        <v>13</v>
      </c>
      <c r="D387">
        <v>3</v>
      </c>
      <c r="E387" t="s">
        <v>569</v>
      </c>
      <c r="F387" t="s">
        <v>582</v>
      </c>
    </row>
    <row r="388" spans="1:6">
      <c r="A388" t="s">
        <v>177</v>
      </c>
      <c r="B388" t="s">
        <v>91</v>
      </c>
      <c r="C388">
        <v>15</v>
      </c>
      <c r="D388">
        <v>3</v>
      </c>
      <c r="E388" t="s">
        <v>569</v>
      </c>
      <c r="F388" t="s">
        <v>579</v>
      </c>
    </row>
    <row r="389" spans="1:6">
      <c r="A389" t="s">
        <v>177</v>
      </c>
      <c r="B389" t="s">
        <v>215</v>
      </c>
      <c r="C389">
        <v>21</v>
      </c>
      <c r="D389">
        <v>3</v>
      </c>
      <c r="E389" t="s">
        <v>569</v>
      </c>
      <c r="F389" t="s">
        <v>574</v>
      </c>
    </row>
    <row r="390" spans="1:6">
      <c r="A390" t="s">
        <v>177</v>
      </c>
      <c r="B390" t="s">
        <v>63</v>
      </c>
      <c r="C390">
        <v>23</v>
      </c>
      <c r="D390">
        <v>3</v>
      </c>
      <c r="E390" t="s">
        <v>569</v>
      </c>
      <c r="F390" t="s">
        <v>576</v>
      </c>
    </row>
    <row r="391" spans="1:6">
      <c r="A391" t="s">
        <v>177</v>
      </c>
      <c r="B391" t="s">
        <v>170</v>
      </c>
      <c r="C391">
        <v>26</v>
      </c>
      <c r="D391">
        <v>3</v>
      </c>
      <c r="E391" t="s">
        <v>569</v>
      </c>
      <c r="F391" t="s">
        <v>577</v>
      </c>
    </row>
    <row r="392" spans="1:6">
      <c r="A392" t="s">
        <v>177</v>
      </c>
      <c r="B392" t="s">
        <v>165</v>
      </c>
      <c r="C392">
        <v>28</v>
      </c>
      <c r="D392">
        <v>3</v>
      </c>
      <c r="E392" t="s">
        <v>569</v>
      </c>
      <c r="F392" t="s">
        <v>573</v>
      </c>
    </row>
    <row r="393" spans="1:6">
      <c r="A393" t="s">
        <v>177</v>
      </c>
      <c r="B393" t="s">
        <v>96</v>
      </c>
      <c r="C393">
        <v>35</v>
      </c>
      <c r="D393">
        <v>3</v>
      </c>
      <c r="E393" t="s">
        <v>569</v>
      </c>
      <c r="F393" t="s">
        <v>583</v>
      </c>
    </row>
    <row r="394" spans="1:6">
      <c r="A394" t="s">
        <v>177</v>
      </c>
      <c r="B394" t="s">
        <v>122</v>
      </c>
      <c r="C394">
        <v>37</v>
      </c>
      <c r="D394">
        <v>3</v>
      </c>
      <c r="E394" t="s">
        <v>569</v>
      </c>
      <c r="F394" t="s">
        <v>581</v>
      </c>
    </row>
    <row r="395" spans="1:6">
      <c r="A395" t="s">
        <v>80</v>
      </c>
      <c r="B395" t="s">
        <v>91</v>
      </c>
      <c r="C395">
        <v>8</v>
      </c>
      <c r="D395">
        <v>3</v>
      </c>
      <c r="E395" t="s">
        <v>569</v>
      </c>
      <c r="F395" t="s">
        <v>579</v>
      </c>
    </row>
    <row r="396" spans="1:6">
      <c r="A396" t="s">
        <v>80</v>
      </c>
      <c r="B396" t="s">
        <v>149</v>
      </c>
      <c r="C396">
        <v>10</v>
      </c>
      <c r="D396">
        <v>3</v>
      </c>
      <c r="E396" t="s">
        <v>569</v>
      </c>
      <c r="F396" t="s">
        <v>578</v>
      </c>
    </row>
    <row r="397" spans="1:6">
      <c r="A397" t="s">
        <v>80</v>
      </c>
      <c r="B397" t="s">
        <v>63</v>
      </c>
      <c r="C397">
        <v>16</v>
      </c>
      <c r="D397">
        <v>3</v>
      </c>
      <c r="E397" t="s">
        <v>569</v>
      </c>
      <c r="F397" t="s">
        <v>576</v>
      </c>
    </row>
    <row r="398" spans="1:6">
      <c r="A398" t="s">
        <v>80</v>
      </c>
      <c r="B398" t="s">
        <v>50</v>
      </c>
      <c r="C398">
        <v>24</v>
      </c>
      <c r="D398">
        <v>3</v>
      </c>
      <c r="E398" t="s">
        <v>569</v>
      </c>
      <c r="F398" t="s">
        <v>580</v>
      </c>
    </row>
    <row r="399" spans="1:6">
      <c r="A399" t="s">
        <v>80</v>
      </c>
      <c r="B399" t="s">
        <v>170</v>
      </c>
      <c r="C399">
        <v>28</v>
      </c>
      <c r="D399">
        <v>3</v>
      </c>
      <c r="E399" t="s">
        <v>569</v>
      </c>
      <c r="F399" t="s">
        <v>577</v>
      </c>
    </row>
    <row r="400" spans="1:6">
      <c r="A400" t="s">
        <v>80</v>
      </c>
      <c r="B400" t="s">
        <v>96</v>
      </c>
      <c r="C400">
        <v>29</v>
      </c>
      <c r="D400">
        <v>3</v>
      </c>
      <c r="E400" t="s">
        <v>569</v>
      </c>
      <c r="F400" t="s">
        <v>583</v>
      </c>
    </row>
    <row r="401" spans="1:6">
      <c r="A401" t="s">
        <v>80</v>
      </c>
      <c r="B401" t="s">
        <v>165</v>
      </c>
      <c r="C401">
        <v>34</v>
      </c>
      <c r="D401">
        <v>3</v>
      </c>
      <c r="E401" t="s">
        <v>569</v>
      </c>
      <c r="F401" t="s">
        <v>573</v>
      </c>
    </row>
    <row r="402" spans="1:6">
      <c r="A402" t="s">
        <v>80</v>
      </c>
      <c r="B402" t="s">
        <v>215</v>
      </c>
      <c r="C402">
        <v>36</v>
      </c>
      <c r="D402">
        <v>3</v>
      </c>
      <c r="E402" t="s">
        <v>569</v>
      </c>
      <c r="F402" t="s">
        <v>574</v>
      </c>
    </row>
    <row r="403" spans="1:6">
      <c r="A403" t="s">
        <v>170</v>
      </c>
      <c r="B403" t="s">
        <v>91</v>
      </c>
      <c r="C403">
        <v>6</v>
      </c>
      <c r="D403">
        <v>3</v>
      </c>
      <c r="E403" t="s">
        <v>569</v>
      </c>
      <c r="F403" t="s">
        <v>579</v>
      </c>
    </row>
    <row r="404" spans="1:6">
      <c r="A404" t="s">
        <v>170</v>
      </c>
      <c r="B404" t="s">
        <v>63</v>
      </c>
      <c r="C404">
        <v>9</v>
      </c>
      <c r="D404">
        <v>3</v>
      </c>
      <c r="E404" t="s">
        <v>569</v>
      </c>
      <c r="F404" t="s">
        <v>576</v>
      </c>
    </row>
    <row r="405" spans="1:6">
      <c r="A405" t="s">
        <v>170</v>
      </c>
      <c r="B405" t="s">
        <v>96</v>
      </c>
      <c r="C405">
        <v>11</v>
      </c>
      <c r="D405">
        <v>3</v>
      </c>
      <c r="E405" t="s">
        <v>569</v>
      </c>
      <c r="F405" t="s">
        <v>583</v>
      </c>
    </row>
    <row r="406" spans="1:6">
      <c r="A406" t="s">
        <v>170</v>
      </c>
      <c r="B406" t="s">
        <v>165</v>
      </c>
      <c r="C406">
        <v>15</v>
      </c>
      <c r="D406">
        <v>3</v>
      </c>
      <c r="E406" t="s">
        <v>569</v>
      </c>
      <c r="F406" t="s">
        <v>573</v>
      </c>
    </row>
    <row r="407" spans="1:6">
      <c r="A407" t="s">
        <v>170</v>
      </c>
      <c r="B407" t="s">
        <v>80</v>
      </c>
      <c r="C407">
        <v>18</v>
      </c>
      <c r="D407">
        <v>3</v>
      </c>
      <c r="E407" t="s">
        <v>569</v>
      </c>
      <c r="F407" t="s">
        <v>582</v>
      </c>
    </row>
    <row r="408" spans="1:6">
      <c r="A408" t="s">
        <v>170</v>
      </c>
      <c r="B408" t="s">
        <v>149</v>
      </c>
      <c r="C408">
        <v>25</v>
      </c>
      <c r="D408">
        <v>3</v>
      </c>
      <c r="E408" t="s">
        <v>569</v>
      </c>
      <c r="F408" t="s">
        <v>578</v>
      </c>
    </row>
    <row r="409" spans="1:6">
      <c r="A409" t="s">
        <v>170</v>
      </c>
      <c r="B409" t="s">
        <v>50</v>
      </c>
      <c r="C409">
        <v>27</v>
      </c>
      <c r="D409">
        <v>3</v>
      </c>
      <c r="E409" t="s">
        <v>569</v>
      </c>
      <c r="F409" t="s">
        <v>580</v>
      </c>
    </row>
    <row r="410" spans="1:6">
      <c r="A410" t="s">
        <v>170</v>
      </c>
      <c r="B410" t="s">
        <v>122</v>
      </c>
      <c r="C410">
        <v>29</v>
      </c>
      <c r="D410">
        <v>3</v>
      </c>
      <c r="E410" t="s">
        <v>569</v>
      </c>
      <c r="F410" t="s">
        <v>581</v>
      </c>
    </row>
    <row r="411" spans="1:6">
      <c r="A411" t="s">
        <v>170</v>
      </c>
      <c r="B411" t="s">
        <v>22</v>
      </c>
      <c r="C411">
        <v>31</v>
      </c>
      <c r="D411">
        <v>3</v>
      </c>
      <c r="E411" t="s">
        <v>569</v>
      </c>
      <c r="F411" t="s">
        <v>575</v>
      </c>
    </row>
    <row r="412" spans="1:6">
      <c r="A412" t="s">
        <v>165</v>
      </c>
      <c r="B412" t="s">
        <v>96</v>
      </c>
      <c r="C412">
        <v>7</v>
      </c>
      <c r="D412">
        <v>3</v>
      </c>
      <c r="E412" t="s">
        <v>569</v>
      </c>
      <c r="F412" t="s">
        <v>583</v>
      </c>
    </row>
    <row r="413" spans="1:6">
      <c r="A413" t="s">
        <v>165</v>
      </c>
      <c r="B413" t="s">
        <v>215</v>
      </c>
      <c r="C413">
        <v>11</v>
      </c>
      <c r="D413">
        <v>3</v>
      </c>
      <c r="E413" t="s">
        <v>569</v>
      </c>
      <c r="F413" t="s">
        <v>574</v>
      </c>
    </row>
    <row r="414" spans="1:6">
      <c r="A414" t="s">
        <v>165</v>
      </c>
      <c r="B414" t="s">
        <v>80</v>
      </c>
      <c r="C414">
        <v>14</v>
      </c>
      <c r="D414">
        <v>3</v>
      </c>
      <c r="E414" t="s">
        <v>569</v>
      </c>
      <c r="F414" t="s">
        <v>582</v>
      </c>
    </row>
    <row r="415" spans="1:6">
      <c r="A415" t="s">
        <v>165</v>
      </c>
      <c r="B415" t="s">
        <v>50</v>
      </c>
      <c r="C415">
        <v>17</v>
      </c>
      <c r="D415">
        <v>3</v>
      </c>
      <c r="E415" t="s">
        <v>569</v>
      </c>
      <c r="F415" t="s">
        <v>580</v>
      </c>
    </row>
    <row r="416" spans="1:6">
      <c r="A416" t="s">
        <v>165</v>
      </c>
      <c r="B416" t="s">
        <v>122</v>
      </c>
      <c r="C416">
        <v>23</v>
      </c>
      <c r="D416">
        <v>3</v>
      </c>
      <c r="E416" t="s">
        <v>569</v>
      </c>
      <c r="F416" t="s">
        <v>581</v>
      </c>
    </row>
    <row r="417" spans="1:6">
      <c r="A417" t="s">
        <v>165</v>
      </c>
      <c r="B417" t="s">
        <v>91</v>
      </c>
      <c r="C417">
        <v>27</v>
      </c>
      <c r="D417">
        <v>3</v>
      </c>
      <c r="E417" t="s">
        <v>569</v>
      </c>
      <c r="F417" t="s">
        <v>579</v>
      </c>
    </row>
    <row r="418" spans="1:6">
      <c r="A418" t="s">
        <v>165</v>
      </c>
      <c r="B418" t="s">
        <v>149</v>
      </c>
      <c r="C418">
        <v>32</v>
      </c>
      <c r="D418">
        <v>3</v>
      </c>
      <c r="E418" t="s">
        <v>569</v>
      </c>
      <c r="F418" t="s">
        <v>578</v>
      </c>
    </row>
    <row r="419" spans="1:6">
      <c r="A419" t="s">
        <v>165</v>
      </c>
      <c r="B419" t="s">
        <v>170</v>
      </c>
      <c r="C419">
        <v>33</v>
      </c>
      <c r="D419">
        <v>3</v>
      </c>
      <c r="E419" t="s">
        <v>569</v>
      </c>
      <c r="F419" t="s">
        <v>577</v>
      </c>
    </row>
    <row r="420" spans="1:6">
      <c r="A420" t="s">
        <v>165</v>
      </c>
      <c r="B420" t="s">
        <v>22</v>
      </c>
      <c r="C420">
        <v>37</v>
      </c>
      <c r="D420">
        <v>3</v>
      </c>
      <c r="E420" t="s">
        <v>569</v>
      </c>
      <c r="F420" t="s">
        <v>575</v>
      </c>
    </row>
    <row r="421" spans="1:6">
      <c r="A421" t="s">
        <v>122</v>
      </c>
      <c r="B421" t="s">
        <v>22</v>
      </c>
      <c r="C421">
        <v>10</v>
      </c>
      <c r="D421">
        <v>3</v>
      </c>
      <c r="E421" t="s">
        <v>569</v>
      </c>
      <c r="F421" t="s">
        <v>575</v>
      </c>
    </row>
    <row r="422" spans="1:6">
      <c r="A422" t="s">
        <v>122</v>
      </c>
      <c r="B422" t="s">
        <v>165</v>
      </c>
      <c r="C422">
        <v>12</v>
      </c>
      <c r="D422">
        <v>3</v>
      </c>
      <c r="E422" t="s">
        <v>569</v>
      </c>
      <c r="F422" t="s">
        <v>573</v>
      </c>
    </row>
    <row r="423" spans="1:6">
      <c r="A423" t="s">
        <v>122</v>
      </c>
      <c r="B423" t="s">
        <v>149</v>
      </c>
      <c r="C423">
        <v>20</v>
      </c>
      <c r="D423">
        <v>3</v>
      </c>
      <c r="E423" t="s">
        <v>569</v>
      </c>
      <c r="F423" t="s">
        <v>578</v>
      </c>
    </row>
    <row r="424" spans="1:6">
      <c r="A424" t="s">
        <v>122</v>
      </c>
      <c r="B424" t="s">
        <v>91</v>
      </c>
      <c r="C424">
        <v>22</v>
      </c>
      <c r="D424">
        <v>3</v>
      </c>
      <c r="E424" t="s">
        <v>569</v>
      </c>
      <c r="F424" t="s">
        <v>579</v>
      </c>
    </row>
    <row r="425" spans="1:6">
      <c r="A425" t="s">
        <v>122</v>
      </c>
      <c r="B425" t="s">
        <v>96</v>
      </c>
      <c r="C425">
        <v>28</v>
      </c>
      <c r="D425">
        <v>3</v>
      </c>
      <c r="E425" t="s">
        <v>569</v>
      </c>
      <c r="F425" t="s">
        <v>583</v>
      </c>
    </row>
    <row r="426" spans="1:6">
      <c r="A426" t="s">
        <v>122</v>
      </c>
      <c r="B426" t="s">
        <v>50</v>
      </c>
      <c r="C426">
        <v>30</v>
      </c>
      <c r="D426">
        <v>3</v>
      </c>
      <c r="E426" t="s">
        <v>569</v>
      </c>
      <c r="F426" t="s">
        <v>580</v>
      </c>
    </row>
    <row r="427" spans="1:6">
      <c r="A427" t="s">
        <v>122</v>
      </c>
      <c r="B427" t="s">
        <v>80</v>
      </c>
      <c r="C427">
        <v>32</v>
      </c>
      <c r="D427">
        <v>3</v>
      </c>
      <c r="E427" t="s">
        <v>569</v>
      </c>
      <c r="F427" t="s">
        <v>582</v>
      </c>
    </row>
    <row r="428" spans="1:6">
      <c r="A428" t="s">
        <v>122</v>
      </c>
      <c r="B428" t="s">
        <v>215</v>
      </c>
      <c r="C428">
        <v>38</v>
      </c>
      <c r="D428">
        <v>3</v>
      </c>
      <c r="E428" t="s">
        <v>569</v>
      </c>
      <c r="F428" t="s">
        <v>574</v>
      </c>
    </row>
    <row r="429" spans="1:6">
      <c r="A429" t="s">
        <v>96</v>
      </c>
      <c r="B429" t="s">
        <v>165</v>
      </c>
      <c r="C429">
        <v>7</v>
      </c>
      <c r="D429">
        <v>3</v>
      </c>
      <c r="E429" t="s">
        <v>570</v>
      </c>
      <c r="F429" t="s">
        <v>584</v>
      </c>
    </row>
    <row r="430" spans="1:6">
      <c r="A430" t="s">
        <v>96</v>
      </c>
      <c r="B430" t="s">
        <v>215</v>
      </c>
      <c r="C430">
        <v>19</v>
      </c>
      <c r="D430">
        <v>3</v>
      </c>
      <c r="E430" t="s">
        <v>570</v>
      </c>
      <c r="F430" t="s">
        <v>585</v>
      </c>
    </row>
    <row r="431" spans="1:6">
      <c r="A431" t="s">
        <v>96</v>
      </c>
      <c r="B431" t="s">
        <v>22</v>
      </c>
      <c r="C431">
        <v>9</v>
      </c>
      <c r="D431">
        <v>3</v>
      </c>
      <c r="E431" t="s">
        <v>570</v>
      </c>
      <c r="F431" t="s">
        <v>586</v>
      </c>
    </row>
    <row r="432" spans="1:6">
      <c r="A432" t="s">
        <v>104</v>
      </c>
      <c r="B432" t="s">
        <v>22</v>
      </c>
      <c r="C432">
        <v>6</v>
      </c>
      <c r="D432">
        <v>3</v>
      </c>
      <c r="E432" t="s">
        <v>570</v>
      </c>
      <c r="F432" t="s">
        <v>586</v>
      </c>
    </row>
    <row r="433" spans="1:6">
      <c r="A433" t="s">
        <v>96</v>
      </c>
      <c r="B433" t="s">
        <v>34</v>
      </c>
      <c r="C433">
        <v>13</v>
      </c>
      <c r="D433">
        <v>3</v>
      </c>
      <c r="E433" t="s">
        <v>570</v>
      </c>
      <c r="F433" t="s">
        <v>587</v>
      </c>
    </row>
    <row r="434" spans="1:6">
      <c r="A434" t="s">
        <v>96</v>
      </c>
      <c r="B434" t="s">
        <v>170</v>
      </c>
      <c r="C434">
        <v>11</v>
      </c>
      <c r="D434">
        <v>3</v>
      </c>
      <c r="E434" t="s">
        <v>570</v>
      </c>
      <c r="F434" t="s">
        <v>588</v>
      </c>
    </row>
    <row r="435" spans="1:6">
      <c r="A435" t="s">
        <v>104</v>
      </c>
      <c r="B435" t="s">
        <v>50</v>
      </c>
      <c r="C435">
        <v>8</v>
      </c>
      <c r="D435">
        <v>3</v>
      </c>
      <c r="E435" t="s">
        <v>570</v>
      </c>
      <c r="F435" t="s">
        <v>589</v>
      </c>
    </row>
    <row r="436" spans="1:6">
      <c r="A436" t="s">
        <v>96</v>
      </c>
      <c r="B436" t="s">
        <v>80</v>
      </c>
      <c r="C436">
        <v>29</v>
      </c>
      <c r="D436">
        <v>3</v>
      </c>
      <c r="E436" t="s">
        <v>570</v>
      </c>
      <c r="F436" t="s">
        <v>590</v>
      </c>
    </row>
    <row r="437" spans="1:6">
      <c r="A437" t="s">
        <v>104</v>
      </c>
      <c r="B437" t="s">
        <v>96</v>
      </c>
      <c r="C437">
        <v>15</v>
      </c>
      <c r="D437">
        <v>3</v>
      </c>
      <c r="E437" t="s">
        <v>570</v>
      </c>
      <c r="F437" t="s">
        <v>591</v>
      </c>
    </row>
    <row r="438" spans="1:6">
      <c r="A438" t="s">
        <v>104</v>
      </c>
      <c r="B438" t="s">
        <v>63</v>
      </c>
      <c r="C438">
        <v>20</v>
      </c>
      <c r="D438">
        <v>3</v>
      </c>
      <c r="E438" t="s">
        <v>570</v>
      </c>
      <c r="F438" t="s">
        <v>592</v>
      </c>
    </row>
    <row r="439" spans="1:6">
      <c r="A439" t="s">
        <v>104</v>
      </c>
      <c r="B439" t="s">
        <v>80</v>
      </c>
      <c r="C439">
        <v>22</v>
      </c>
      <c r="D439">
        <v>3</v>
      </c>
      <c r="E439" t="s">
        <v>570</v>
      </c>
      <c r="F439" t="s">
        <v>590</v>
      </c>
    </row>
    <row r="440" spans="1:6">
      <c r="A440" t="s">
        <v>104</v>
      </c>
      <c r="B440" t="s">
        <v>165</v>
      </c>
      <c r="C440">
        <v>30</v>
      </c>
      <c r="D440">
        <v>3</v>
      </c>
      <c r="E440" t="s">
        <v>570</v>
      </c>
      <c r="F440" t="s">
        <v>584</v>
      </c>
    </row>
    <row r="441" spans="1:6">
      <c r="A441" t="s">
        <v>104</v>
      </c>
      <c r="B441" t="s">
        <v>215</v>
      </c>
      <c r="C441">
        <v>32</v>
      </c>
      <c r="D441">
        <v>3</v>
      </c>
      <c r="E441" t="s">
        <v>570</v>
      </c>
      <c r="F441" t="s">
        <v>585</v>
      </c>
    </row>
    <row r="442" spans="1:6">
      <c r="A442" t="s">
        <v>104</v>
      </c>
      <c r="B442" t="s">
        <v>170</v>
      </c>
      <c r="C442">
        <v>36</v>
      </c>
      <c r="D442">
        <v>3</v>
      </c>
      <c r="E442" t="s">
        <v>570</v>
      </c>
      <c r="F442" t="s">
        <v>588</v>
      </c>
    </row>
    <row r="443" spans="1:6">
      <c r="A443" t="s">
        <v>104</v>
      </c>
      <c r="B443" t="s">
        <v>34</v>
      </c>
      <c r="C443">
        <v>38</v>
      </c>
      <c r="D443">
        <v>3</v>
      </c>
      <c r="E443" t="s">
        <v>570</v>
      </c>
      <c r="F443" t="s">
        <v>587</v>
      </c>
    </row>
    <row r="444" spans="1:6">
      <c r="A444" t="s">
        <v>215</v>
      </c>
      <c r="B444" t="s">
        <v>63</v>
      </c>
      <c r="C444">
        <v>6</v>
      </c>
      <c r="D444">
        <v>3</v>
      </c>
      <c r="E444" t="s">
        <v>570</v>
      </c>
      <c r="F444" t="s">
        <v>592</v>
      </c>
    </row>
    <row r="445" spans="1:6">
      <c r="A445" t="s">
        <v>215</v>
      </c>
      <c r="B445" t="s">
        <v>165</v>
      </c>
      <c r="C445">
        <v>11</v>
      </c>
      <c r="D445">
        <v>3</v>
      </c>
      <c r="E445" t="s">
        <v>570</v>
      </c>
      <c r="F445" t="s">
        <v>584</v>
      </c>
    </row>
    <row r="446" spans="1:6">
      <c r="A446" t="s">
        <v>215</v>
      </c>
      <c r="B446" t="s">
        <v>50</v>
      </c>
      <c r="C446">
        <v>13</v>
      </c>
      <c r="D446">
        <v>3</v>
      </c>
      <c r="E446" t="s">
        <v>570</v>
      </c>
      <c r="F446" t="s">
        <v>589</v>
      </c>
    </row>
    <row r="447" spans="1:6">
      <c r="A447" t="s">
        <v>215</v>
      </c>
      <c r="B447" t="s">
        <v>22</v>
      </c>
      <c r="C447">
        <v>17</v>
      </c>
      <c r="D447">
        <v>3</v>
      </c>
      <c r="E447" t="s">
        <v>570</v>
      </c>
      <c r="F447" t="s">
        <v>586</v>
      </c>
    </row>
    <row r="448" spans="1:6">
      <c r="A448" t="s">
        <v>215</v>
      </c>
      <c r="B448" t="s">
        <v>96</v>
      </c>
      <c r="C448">
        <v>25</v>
      </c>
      <c r="D448">
        <v>3</v>
      </c>
      <c r="E448" t="s">
        <v>570</v>
      </c>
      <c r="F448" t="s">
        <v>591</v>
      </c>
    </row>
    <row r="449" spans="1:6">
      <c r="A449" t="s">
        <v>215</v>
      </c>
      <c r="B449" t="s">
        <v>34</v>
      </c>
      <c r="C449">
        <v>31</v>
      </c>
      <c r="D449">
        <v>3</v>
      </c>
      <c r="E449" t="s">
        <v>570</v>
      </c>
      <c r="F449" t="s">
        <v>587</v>
      </c>
    </row>
    <row r="450" spans="1:6">
      <c r="A450" t="s">
        <v>215</v>
      </c>
      <c r="B450" t="s">
        <v>80</v>
      </c>
      <c r="C450">
        <v>36</v>
      </c>
      <c r="D450">
        <v>3</v>
      </c>
      <c r="E450" t="s">
        <v>570</v>
      </c>
      <c r="F450" t="s">
        <v>590</v>
      </c>
    </row>
    <row r="451" spans="1:6">
      <c r="A451" t="s">
        <v>63</v>
      </c>
      <c r="B451" t="s">
        <v>170</v>
      </c>
      <c r="C451">
        <v>9</v>
      </c>
      <c r="D451">
        <v>3</v>
      </c>
      <c r="E451" t="s">
        <v>570</v>
      </c>
      <c r="F451" t="s">
        <v>588</v>
      </c>
    </row>
    <row r="452" spans="1:6">
      <c r="A452" t="s">
        <v>63</v>
      </c>
      <c r="B452" t="s">
        <v>50</v>
      </c>
      <c r="C452">
        <v>11</v>
      </c>
      <c r="D452">
        <v>3</v>
      </c>
      <c r="E452" t="s">
        <v>570</v>
      </c>
      <c r="F452" t="s">
        <v>589</v>
      </c>
    </row>
    <row r="453" spans="1:6">
      <c r="A453" t="s">
        <v>63</v>
      </c>
      <c r="B453" t="s">
        <v>80</v>
      </c>
      <c r="C453">
        <v>16</v>
      </c>
      <c r="D453">
        <v>3</v>
      </c>
      <c r="E453" t="s">
        <v>570</v>
      </c>
      <c r="F453" t="s">
        <v>590</v>
      </c>
    </row>
    <row r="454" spans="1:6">
      <c r="A454" t="s">
        <v>63</v>
      </c>
      <c r="B454" t="s">
        <v>34</v>
      </c>
      <c r="C454">
        <v>21</v>
      </c>
      <c r="D454">
        <v>3</v>
      </c>
      <c r="E454" t="s">
        <v>570</v>
      </c>
      <c r="F454" t="s">
        <v>587</v>
      </c>
    </row>
    <row r="455" spans="1:6">
      <c r="A455" t="s">
        <v>63</v>
      </c>
      <c r="B455" t="s">
        <v>96</v>
      </c>
      <c r="C455">
        <v>30</v>
      </c>
      <c r="D455">
        <v>3</v>
      </c>
      <c r="E455" t="s">
        <v>570</v>
      </c>
      <c r="F455" t="s">
        <v>591</v>
      </c>
    </row>
    <row r="456" spans="1:6">
      <c r="A456" t="s">
        <v>63</v>
      </c>
      <c r="B456" t="s">
        <v>22</v>
      </c>
      <c r="C456">
        <v>32</v>
      </c>
      <c r="D456">
        <v>3</v>
      </c>
      <c r="E456" t="s">
        <v>570</v>
      </c>
      <c r="F456" t="s">
        <v>586</v>
      </c>
    </row>
    <row r="457" spans="1:6">
      <c r="A457" t="s">
        <v>63</v>
      </c>
      <c r="B457" t="s">
        <v>215</v>
      </c>
      <c r="C457">
        <v>35</v>
      </c>
      <c r="D457">
        <v>3</v>
      </c>
      <c r="E457" t="s">
        <v>570</v>
      </c>
      <c r="F457" t="s">
        <v>585</v>
      </c>
    </row>
    <row r="458" spans="1:6">
      <c r="A458" t="s">
        <v>34</v>
      </c>
      <c r="B458" t="s">
        <v>63</v>
      </c>
      <c r="C458">
        <v>10</v>
      </c>
      <c r="D458">
        <v>3</v>
      </c>
      <c r="E458" t="s">
        <v>570</v>
      </c>
      <c r="F458" t="s">
        <v>592</v>
      </c>
    </row>
    <row r="459" spans="1:6">
      <c r="A459" t="s">
        <v>34</v>
      </c>
      <c r="B459" t="s">
        <v>80</v>
      </c>
      <c r="C459">
        <v>12</v>
      </c>
      <c r="D459">
        <v>3</v>
      </c>
      <c r="E459" t="s">
        <v>570</v>
      </c>
      <c r="F459" t="s">
        <v>590</v>
      </c>
    </row>
    <row r="460" spans="1:6">
      <c r="A460" t="s">
        <v>34</v>
      </c>
      <c r="B460" t="s">
        <v>50</v>
      </c>
      <c r="C460">
        <v>15</v>
      </c>
      <c r="D460">
        <v>3</v>
      </c>
      <c r="E460" t="s">
        <v>570</v>
      </c>
      <c r="F460" t="s">
        <v>589</v>
      </c>
    </row>
    <row r="461" spans="1:6">
      <c r="A461" t="s">
        <v>34</v>
      </c>
      <c r="B461" t="s">
        <v>96</v>
      </c>
      <c r="C461">
        <v>20</v>
      </c>
      <c r="D461">
        <v>3</v>
      </c>
      <c r="E461" t="s">
        <v>570</v>
      </c>
      <c r="F461" t="s">
        <v>591</v>
      </c>
    </row>
    <row r="462" spans="1:6">
      <c r="A462" t="s">
        <v>34</v>
      </c>
      <c r="B462" t="s">
        <v>170</v>
      </c>
      <c r="C462">
        <v>34</v>
      </c>
      <c r="D462">
        <v>3</v>
      </c>
      <c r="E462" t="s">
        <v>570</v>
      </c>
      <c r="F462" t="s">
        <v>588</v>
      </c>
    </row>
    <row r="463" spans="1:6">
      <c r="A463" t="s">
        <v>34</v>
      </c>
      <c r="B463" t="s">
        <v>165</v>
      </c>
      <c r="C463">
        <v>35</v>
      </c>
      <c r="D463">
        <v>3</v>
      </c>
      <c r="E463" t="s">
        <v>570</v>
      </c>
      <c r="F463" t="s">
        <v>584</v>
      </c>
    </row>
    <row r="464" spans="1:6">
      <c r="A464" t="s">
        <v>158</v>
      </c>
      <c r="B464" t="s">
        <v>96</v>
      </c>
      <c r="C464">
        <v>6</v>
      </c>
      <c r="D464">
        <v>3</v>
      </c>
      <c r="E464" t="s">
        <v>570</v>
      </c>
      <c r="F464" t="s">
        <v>591</v>
      </c>
    </row>
    <row r="465" spans="1:6">
      <c r="A465" t="s">
        <v>158</v>
      </c>
      <c r="B465" t="s">
        <v>22</v>
      </c>
      <c r="C465">
        <v>11</v>
      </c>
      <c r="D465">
        <v>3</v>
      </c>
      <c r="E465" t="s">
        <v>570</v>
      </c>
      <c r="F465" t="s">
        <v>586</v>
      </c>
    </row>
    <row r="466" spans="1:6">
      <c r="A466" t="s">
        <v>158</v>
      </c>
      <c r="B466" t="s">
        <v>215</v>
      </c>
      <c r="C466">
        <v>16</v>
      </c>
      <c r="D466">
        <v>3</v>
      </c>
      <c r="E466" t="s">
        <v>570</v>
      </c>
      <c r="F466" t="s">
        <v>585</v>
      </c>
    </row>
    <row r="467" spans="1:6">
      <c r="A467" t="s">
        <v>158</v>
      </c>
      <c r="B467" t="s">
        <v>80</v>
      </c>
      <c r="C467">
        <v>19</v>
      </c>
      <c r="D467">
        <v>3</v>
      </c>
      <c r="E467" t="s">
        <v>570</v>
      </c>
      <c r="F467" t="s">
        <v>590</v>
      </c>
    </row>
    <row r="468" spans="1:6">
      <c r="A468" t="s">
        <v>158</v>
      </c>
      <c r="B468" t="s">
        <v>165</v>
      </c>
      <c r="C468">
        <v>21</v>
      </c>
      <c r="D468">
        <v>3</v>
      </c>
      <c r="E468" t="s">
        <v>570</v>
      </c>
      <c r="F468" t="s">
        <v>584</v>
      </c>
    </row>
    <row r="469" spans="1:6">
      <c r="A469" t="s">
        <v>158</v>
      </c>
      <c r="B469" t="s">
        <v>170</v>
      </c>
      <c r="C469">
        <v>23</v>
      </c>
      <c r="D469">
        <v>3</v>
      </c>
      <c r="E469" t="s">
        <v>570</v>
      </c>
      <c r="F469" t="s">
        <v>588</v>
      </c>
    </row>
    <row r="470" spans="1:6">
      <c r="A470" t="s">
        <v>158</v>
      </c>
      <c r="B470" t="s">
        <v>50</v>
      </c>
      <c r="C470">
        <v>36</v>
      </c>
      <c r="D470">
        <v>3</v>
      </c>
      <c r="E470" t="s">
        <v>570</v>
      </c>
      <c r="F470" t="s">
        <v>589</v>
      </c>
    </row>
    <row r="471" spans="1:6">
      <c r="A471" t="s">
        <v>158</v>
      </c>
      <c r="B471" t="s">
        <v>63</v>
      </c>
      <c r="C471">
        <v>38</v>
      </c>
      <c r="D471">
        <v>3</v>
      </c>
      <c r="E471" t="s">
        <v>570</v>
      </c>
      <c r="F471" t="s">
        <v>592</v>
      </c>
    </row>
    <row r="472" spans="1:6">
      <c r="A472" t="s">
        <v>75</v>
      </c>
      <c r="B472" t="s">
        <v>80</v>
      </c>
      <c r="C472">
        <v>6</v>
      </c>
      <c r="D472">
        <v>3</v>
      </c>
      <c r="E472" t="s">
        <v>570</v>
      </c>
      <c r="F472" t="s">
        <v>590</v>
      </c>
    </row>
    <row r="473" spans="1:6">
      <c r="A473" t="s">
        <v>75</v>
      </c>
      <c r="B473" t="s">
        <v>165</v>
      </c>
      <c r="C473">
        <v>9</v>
      </c>
      <c r="D473">
        <v>3</v>
      </c>
      <c r="E473" t="s">
        <v>570</v>
      </c>
      <c r="F473" t="s">
        <v>584</v>
      </c>
    </row>
    <row r="474" spans="1:6">
      <c r="A474" t="s">
        <v>75</v>
      </c>
      <c r="B474" t="s">
        <v>215</v>
      </c>
      <c r="C474">
        <v>15</v>
      </c>
      <c r="D474">
        <v>3</v>
      </c>
      <c r="E474" t="s">
        <v>570</v>
      </c>
      <c r="F474" t="s">
        <v>585</v>
      </c>
    </row>
    <row r="475" spans="1:6">
      <c r="A475" t="s">
        <v>75</v>
      </c>
      <c r="B475" t="s">
        <v>63</v>
      </c>
      <c r="C475">
        <v>18</v>
      </c>
      <c r="D475">
        <v>3</v>
      </c>
      <c r="E475" t="s">
        <v>570</v>
      </c>
      <c r="F475" t="s">
        <v>592</v>
      </c>
    </row>
    <row r="476" spans="1:6">
      <c r="A476" t="s">
        <v>75</v>
      </c>
      <c r="B476" t="s">
        <v>50</v>
      </c>
      <c r="C476">
        <v>21</v>
      </c>
      <c r="D476">
        <v>3</v>
      </c>
      <c r="E476" t="s">
        <v>570</v>
      </c>
      <c r="F476" t="s">
        <v>589</v>
      </c>
    </row>
    <row r="477" spans="1:6">
      <c r="A477" t="s">
        <v>75</v>
      </c>
      <c r="B477" t="s">
        <v>22</v>
      </c>
      <c r="C477">
        <v>23</v>
      </c>
      <c r="D477">
        <v>3</v>
      </c>
      <c r="E477" t="s">
        <v>570</v>
      </c>
      <c r="F477" t="s">
        <v>586</v>
      </c>
    </row>
    <row r="478" spans="1:6">
      <c r="A478" t="s">
        <v>75</v>
      </c>
      <c r="B478" t="s">
        <v>96</v>
      </c>
      <c r="C478">
        <v>27</v>
      </c>
      <c r="D478">
        <v>3</v>
      </c>
      <c r="E478" t="s">
        <v>570</v>
      </c>
      <c r="F478" t="s">
        <v>591</v>
      </c>
    </row>
    <row r="479" spans="1:6">
      <c r="A479" t="s">
        <v>75</v>
      </c>
      <c r="B479" t="s">
        <v>170</v>
      </c>
      <c r="C479">
        <v>38</v>
      </c>
      <c r="D479">
        <v>3</v>
      </c>
      <c r="E479" t="s">
        <v>570</v>
      </c>
      <c r="F479" t="s">
        <v>588</v>
      </c>
    </row>
    <row r="480" spans="1:6">
      <c r="A480" t="s">
        <v>91</v>
      </c>
      <c r="B480" t="s">
        <v>170</v>
      </c>
      <c r="C480">
        <v>6</v>
      </c>
      <c r="D480">
        <v>3</v>
      </c>
      <c r="E480" t="s">
        <v>570</v>
      </c>
      <c r="F480" t="s">
        <v>588</v>
      </c>
    </row>
    <row r="481" spans="1:6">
      <c r="A481" t="s">
        <v>91</v>
      </c>
      <c r="B481" t="s">
        <v>80</v>
      </c>
      <c r="C481">
        <v>8</v>
      </c>
      <c r="D481">
        <v>3</v>
      </c>
      <c r="E481" t="s">
        <v>570</v>
      </c>
      <c r="F481" t="s">
        <v>590</v>
      </c>
    </row>
    <row r="482" spans="1:6">
      <c r="A482" t="s">
        <v>91</v>
      </c>
      <c r="B482" t="s">
        <v>96</v>
      </c>
      <c r="C482">
        <v>18</v>
      </c>
      <c r="D482">
        <v>3</v>
      </c>
      <c r="E482" t="s">
        <v>570</v>
      </c>
      <c r="F482" t="s">
        <v>591</v>
      </c>
    </row>
    <row r="483" spans="1:6">
      <c r="A483" t="s">
        <v>91</v>
      </c>
      <c r="B483" t="s">
        <v>63</v>
      </c>
      <c r="C483">
        <v>25</v>
      </c>
      <c r="D483">
        <v>3</v>
      </c>
      <c r="E483" t="s">
        <v>570</v>
      </c>
      <c r="F483" t="s">
        <v>592</v>
      </c>
    </row>
    <row r="484" spans="1:6">
      <c r="A484" t="s">
        <v>91</v>
      </c>
      <c r="B484" t="s">
        <v>165</v>
      </c>
      <c r="C484">
        <v>27</v>
      </c>
      <c r="D484">
        <v>3</v>
      </c>
      <c r="E484" t="s">
        <v>570</v>
      </c>
      <c r="F484" t="s">
        <v>584</v>
      </c>
    </row>
    <row r="485" spans="1:6">
      <c r="A485" t="s">
        <v>91</v>
      </c>
      <c r="B485" t="s">
        <v>50</v>
      </c>
      <c r="C485">
        <v>31</v>
      </c>
      <c r="D485">
        <v>3</v>
      </c>
      <c r="E485" t="s">
        <v>570</v>
      </c>
      <c r="F485" t="s">
        <v>589</v>
      </c>
    </row>
    <row r="486" spans="1:6">
      <c r="A486" t="s">
        <v>91</v>
      </c>
      <c r="B486" t="s">
        <v>215</v>
      </c>
      <c r="C486">
        <v>34</v>
      </c>
      <c r="D486">
        <v>3</v>
      </c>
      <c r="E486" t="s">
        <v>570</v>
      </c>
      <c r="F486" t="s">
        <v>585</v>
      </c>
    </row>
    <row r="487" spans="1:6">
      <c r="A487" t="s">
        <v>91</v>
      </c>
      <c r="B487" t="s">
        <v>34</v>
      </c>
      <c r="C487">
        <v>36</v>
      </c>
      <c r="D487">
        <v>3</v>
      </c>
      <c r="E487" t="s">
        <v>570</v>
      </c>
      <c r="F487" t="s">
        <v>587</v>
      </c>
    </row>
    <row r="488" spans="1:6">
      <c r="A488" t="s">
        <v>91</v>
      </c>
      <c r="B488" t="s">
        <v>22</v>
      </c>
      <c r="C488">
        <v>38</v>
      </c>
      <c r="D488">
        <v>3</v>
      </c>
      <c r="E488" t="s">
        <v>570</v>
      </c>
      <c r="F488" t="s">
        <v>586</v>
      </c>
    </row>
    <row r="489" spans="1:6">
      <c r="A489" t="s">
        <v>50</v>
      </c>
      <c r="B489" t="s">
        <v>165</v>
      </c>
      <c r="C489">
        <v>17</v>
      </c>
      <c r="D489">
        <v>3</v>
      </c>
      <c r="E489" t="s">
        <v>570</v>
      </c>
      <c r="F489" t="s">
        <v>584</v>
      </c>
    </row>
    <row r="490" spans="1:6">
      <c r="A490" t="s">
        <v>50</v>
      </c>
      <c r="B490" t="s">
        <v>215</v>
      </c>
      <c r="C490">
        <v>20</v>
      </c>
      <c r="D490">
        <v>3</v>
      </c>
      <c r="E490" t="s">
        <v>570</v>
      </c>
      <c r="F490" t="s">
        <v>585</v>
      </c>
    </row>
    <row r="491" spans="1:6">
      <c r="A491" t="s">
        <v>50</v>
      </c>
      <c r="B491" t="s">
        <v>63</v>
      </c>
      <c r="C491">
        <v>22</v>
      </c>
      <c r="D491">
        <v>3</v>
      </c>
      <c r="E491" t="s">
        <v>570</v>
      </c>
      <c r="F491" t="s">
        <v>592</v>
      </c>
    </row>
    <row r="492" spans="1:6">
      <c r="A492" t="s">
        <v>50</v>
      </c>
      <c r="B492" t="s">
        <v>80</v>
      </c>
      <c r="C492">
        <v>24</v>
      </c>
      <c r="D492">
        <v>3</v>
      </c>
      <c r="E492" t="s">
        <v>570</v>
      </c>
      <c r="F492" t="s">
        <v>590</v>
      </c>
    </row>
    <row r="493" spans="1:6">
      <c r="A493" t="s">
        <v>50</v>
      </c>
      <c r="B493" t="s">
        <v>22</v>
      </c>
      <c r="C493">
        <v>25</v>
      </c>
      <c r="D493">
        <v>3</v>
      </c>
      <c r="E493" t="s">
        <v>570</v>
      </c>
      <c r="F493" t="s">
        <v>586</v>
      </c>
    </row>
    <row r="494" spans="1:6">
      <c r="A494" t="s">
        <v>50</v>
      </c>
      <c r="B494" t="s">
        <v>170</v>
      </c>
      <c r="C494">
        <v>27</v>
      </c>
      <c r="D494">
        <v>3</v>
      </c>
      <c r="E494" t="s">
        <v>570</v>
      </c>
      <c r="F494" t="s">
        <v>588</v>
      </c>
    </row>
    <row r="495" spans="1:6">
      <c r="A495" t="s">
        <v>50</v>
      </c>
      <c r="B495" t="s">
        <v>96</v>
      </c>
      <c r="C495">
        <v>32</v>
      </c>
      <c r="D495">
        <v>3</v>
      </c>
      <c r="E495" t="s">
        <v>570</v>
      </c>
      <c r="F495" t="s">
        <v>591</v>
      </c>
    </row>
    <row r="496" spans="1:6">
      <c r="A496" t="s">
        <v>50</v>
      </c>
      <c r="B496" t="s">
        <v>34</v>
      </c>
      <c r="C496">
        <v>33</v>
      </c>
      <c r="D496">
        <v>3</v>
      </c>
      <c r="E496" t="s">
        <v>570</v>
      </c>
      <c r="F496" t="s">
        <v>587</v>
      </c>
    </row>
    <row r="497" spans="1:6">
      <c r="A497" t="s">
        <v>149</v>
      </c>
      <c r="B497" t="s">
        <v>80</v>
      </c>
      <c r="C497">
        <v>10</v>
      </c>
      <c r="D497">
        <v>3</v>
      </c>
      <c r="E497" t="s">
        <v>570</v>
      </c>
      <c r="F497" t="s">
        <v>590</v>
      </c>
    </row>
    <row r="498" spans="1:6">
      <c r="A498" t="s">
        <v>149</v>
      </c>
      <c r="B498" t="s">
        <v>96</v>
      </c>
      <c r="C498">
        <v>12</v>
      </c>
      <c r="D498">
        <v>3</v>
      </c>
      <c r="E498" t="s">
        <v>570</v>
      </c>
      <c r="F498" t="s">
        <v>591</v>
      </c>
    </row>
    <row r="499" spans="1:6">
      <c r="A499" t="s">
        <v>149</v>
      </c>
      <c r="B499" t="s">
        <v>63</v>
      </c>
      <c r="C499">
        <v>15</v>
      </c>
      <c r="D499">
        <v>3</v>
      </c>
      <c r="E499" t="s">
        <v>570</v>
      </c>
      <c r="F499" t="s">
        <v>592</v>
      </c>
    </row>
    <row r="500" spans="1:6">
      <c r="A500" t="s">
        <v>149</v>
      </c>
      <c r="B500" t="s">
        <v>34</v>
      </c>
      <c r="C500">
        <v>17</v>
      </c>
      <c r="D500">
        <v>3</v>
      </c>
      <c r="E500" t="s">
        <v>570</v>
      </c>
      <c r="F500" t="s">
        <v>587</v>
      </c>
    </row>
    <row r="501" spans="1:6">
      <c r="A501" t="s">
        <v>149</v>
      </c>
      <c r="B501" t="s">
        <v>215</v>
      </c>
      <c r="C501">
        <v>22</v>
      </c>
      <c r="D501">
        <v>3</v>
      </c>
      <c r="E501" t="s">
        <v>570</v>
      </c>
      <c r="F501" t="s">
        <v>585</v>
      </c>
    </row>
    <row r="502" spans="1:6">
      <c r="A502" t="s">
        <v>149</v>
      </c>
      <c r="B502" t="s">
        <v>170</v>
      </c>
      <c r="C502">
        <v>25</v>
      </c>
      <c r="D502">
        <v>3</v>
      </c>
      <c r="E502" t="s">
        <v>570</v>
      </c>
      <c r="F502" t="s">
        <v>588</v>
      </c>
    </row>
    <row r="503" spans="1:6">
      <c r="A503" t="s">
        <v>149</v>
      </c>
      <c r="B503" t="s">
        <v>22</v>
      </c>
      <c r="C503">
        <v>27</v>
      </c>
      <c r="D503">
        <v>3</v>
      </c>
      <c r="E503" t="s">
        <v>570</v>
      </c>
      <c r="F503" t="s">
        <v>586</v>
      </c>
    </row>
    <row r="504" spans="1:6">
      <c r="A504" t="s">
        <v>149</v>
      </c>
      <c r="B504" t="s">
        <v>165</v>
      </c>
      <c r="C504">
        <v>32</v>
      </c>
      <c r="D504">
        <v>3</v>
      </c>
      <c r="E504" t="s">
        <v>570</v>
      </c>
      <c r="F504" t="s">
        <v>584</v>
      </c>
    </row>
    <row r="505" spans="1:6">
      <c r="A505" t="s">
        <v>149</v>
      </c>
      <c r="B505" t="s">
        <v>50</v>
      </c>
      <c r="C505">
        <v>34</v>
      </c>
      <c r="D505">
        <v>3</v>
      </c>
      <c r="E505" t="s">
        <v>570</v>
      </c>
      <c r="F505" t="s">
        <v>589</v>
      </c>
    </row>
    <row r="506" spans="1:6">
      <c r="A506" t="s">
        <v>45</v>
      </c>
      <c r="B506" t="s">
        <v>50</v>
      </c>
      <c r="C506">
        <v>6</v>
      </c>
      <c r="D506">
        <v>3</v>
      </c>
      <c r="E506" t="s">
        <v>570</v>
      </c>
      <c r="F506" t="s">
        <v>589</v>
      </c>
    </row>
    <row r="507" spans="1:6">
      <c r="A507" t="s">
        <v>45</v>
      </c>
      <c r="B507" t="s">
        <v>63</v>
      </c>
      <c r="C507">
        <v>8</v>
      </c>
      <c r="D507">
        <v>3</v>
      </c>
      <c r="E507" t="s">
        <v>570</v>
      </c>
      <c r="F507" t="s">
        <v>592</v>
      </c>
    </row>
    <row r="508" spans="1:6">
      <c r="A508" t="s">
        <v>45</v>
      </c>
      <c r="B508" t="s">
        <v>34</v>
      </c>
      <c r="C508">
        <v>11</v>
      </c>
      <c r="D508">
        <v>3</v>
      </c>
      <c r="E508" t="s">
        <v>570</v>
      </c>
      <c r="F508" t="s">
        <v>587</v>
      </c>
    </row>
    <row r="509" spans="1:6">
      <c r="A509" t="s">
        <v>45</v>
      </c>
      <c r="B509" t="s">
        <v>170</v>
      </c>
      <c r="C509">
        <v>13</v>
      </c>
      <c r="D509">
        <v>3</v>
      </c>
      <c r="E509" t="s">
        <v>570</v>
      </c>
      <c r="F509" t="s">
        <v>588</v>
      </c>
    </row>
    <row r="510" spans="1:6">
      <c r="A510" t="s">
        <v>45</v>
      </c>
      <c r="B510" t="s">
        <v>22</v>
      </c>
      <c r="C510">
        <v>18</v>
      </c>
      <c r="D510">
        <v>3</v>
      </c>
      <c r="E510" t="s">
        <v>570</v>
      </c>
      <c r="F510" t="s">
        <v>586</v>
      </c>
    </row>
    <row r="511" spans="1:6">
      <c r="A511" t="s">
        <v>45</v>
      </c>
      <c r="B511" t="s">
        <v>165</v>
      </c>
      <c r="C511">
        <v>25</v>
      </c>
      <c r="D511">
        <v>3</v>
      </c>
      <c r="E511" t="s">
        <v>570</v>
      </c>
      <c r="F511" t="s">
        <v>584</v>
      </c>
    </row>
    <row r="512" spans="1:6">
      <c r="A512" t="s">
        <v>45</v>
      </c>
      <c r="B512" t="s">
        <v>96</v>
      </c>
      <c r="C512">
        <v>34</v>
      </c>
      <c r="D512">
        <v>3</v>
      </c>
      <c r="E512" t="s">
        <v>570</v>
      </c>
      <c r="F512" t="s">
        <v>591</v>
      </c>
    </row>
    <row r="513" spans="1:6">
      <c r="A513" t="s">
        <v>45</v>
      </c>
      <c r="B513" t="s">
        <v>80</v>
      </c>
      <c r="C513">
        <v>38</v>
      </c>
      <c r="D513">
        <v>3</v>
      </c>
      <c r="E513" t="s">
        <v>570</v>
      </c>
      <c r="F513" t="s">
        <v>590</v>
      </c>
    </row>
    <row r="514" spans="1:6">
      <c r="A514" t="s">
        <v>66</v>
      </c>
      <c r="B514" t="s">
        <v>170</v>
      </c>
      <c r="C514">
        <v>8</v>
      </c>
      <c r="D514">
        <v>3</v>
      </c>
      <c r="E514" t="s">
        <v>570</v>
      </c>
      <c r="F514" t="s">
        <v>588</v>
      </c>
    </row>
    <row r="515" spans="1:6">
      <c r="A515" t="s">
        <v>66</v>
      </c>
      <c r="B515" t="s">
        <v>96</v>
      </c>
      <c r="C515">
        <v>10</v>
      </c>
      <c r="D515">
        <v>3</v>
      </c>
      <c r="E515" t="s">
        <v>570</v>
      </c>
      <c r="F515" t="s">
        <v>591</v>
      </c>
    </row>
    <row r="516" spans="1:6">
      <c r="A516" t="s">
        <v>66</v>
      </c>
      <c r="B516" t="s">
        <v>215</v>
      </c>
      <c r="C516">
        <v>12</v>
      </c>
      <c r="D516">
        <v>3</v>
      </c>
      <c r="E516" t="s">
        <v>570</v>
      </c>
      <c r="F516" t="s">
        <v>585</v>
      </c>
    </row>
    <row r="517" spans="1:6">
      <c r="A517" t="s">
        <v>66</v>
      </c>
      <c r="B517" t="s">
        <v>80</v>
      </c>
      <c r="C517">
        <v>15</v>
      </c>
      <c r="D517">
        <v>3</v>
      </c>
      <c r="E517" t="s">
        <v>570</v>
      </c>
      <c r="F517" t="s">
        <v>590</v>
      </c>
    </row>
    <row r="518" spans="1:6">
      <c r="A518" t="s">
        <v>66</v>
      </c>
      <c r="B518" t="s">
        <v>63</v>
      </c>
      <c r="C518">
        <v>17</v>
      </c>
      <c r="D518">
        <v>3</v>
      </c>
      <c r="E518" t="s">
        <v>570</v>
      </c>
      <c r="F518" t="s">
        <v>592</v>
      </c>
    </row>
    <row r="519" spans="1:6">
      <c r="A519" t="s">
        <v>66</v>
      </c>
      <c r="B519" t="s">
        <v>34</v>
      </c>
      <c r="C519">
        <v>27</v>
      </c>
      <c r="D519">
        <v>3</v>
      </c>
      <c r="E519" t="s">
        <v>570</v>
      </c>
      <c r="F519" t="s">
        <v>587</v>
      </c>
    </row>
    <row r="520" spans="1:6">
      <c r="A520" t="s">
        <v>66</v>
      </c>
      <c r="B520" t="s">
        <v>22</v>
      </c>
      <c r="C520">
        <v>34</v>
      </c>
      <c r="D520">
        <v>3</v>
      </c>
      <c r="E520" t="s">
        <v>570</v>
      </c>
      <c r="F520" t="s">
        <v>586</v>
      </c>
    </row>
    <row r="521" spans="1:6">
      <c r="A521" t="s">
        <v>66</v>
      </c>
      <c r="B521" t="s">
        <v>50</v>
      </c>
      <c r="C521">
        <v>38</v>
      </c>
      <c r="D521">
        <v>3</v>
      </c>
      <c r="E521" t="s">
        <v>570</v>
      </c>
      <c r="F521" t="s">
        <v>589</v>
      </c>
    </row>
    <row r="522" spans="1:6">
      <c r="A522" t="s">
        <v>22</v>
      </c>
      <c r="B522" t="s">
        <v>50</v>
      </c>
      <c r="C522">
        <v>19</v>
      </c>
      <c r="D522">
        <v>3</v>
      </c>
      <c r="E522" t="s">
        <v>570</v>
      </c>
      <c r="F522" t="s">
        <v>589</v>
      </c>
    </row>
    <row r="523" spans="1:6">
      <c r="A523" t="s">
        <v>22</v>
      </c>
      <c r="B523" t="s">
        <v>96</v>
      </c>
      <c r="C523">
        <v>24</v>
      </c>
      <c r="D523">
        <v>3</v>
      </c>
      <c r="E523" t="s">
        <v>570</v>
      </c>
      <c r="F523" t="s">
        <v>591</v>
      </c>
    </row>
    <row r="524" spans="1:6">
      <c r="A524" t="s">
        <v>22</v>
      </c>
      <c r="B524" t="s">
        <v>215</v>
      </c>
      <c r="C524">
        <v>26</v>
      </c>
      <c r="D524">
        <v>3</v>
      </c>
      <c r="E524" t="s">
        <v>570</v>
      </c>
      <c r="F524" t="s">
        <v>585</v>
      </c>
    </row>
    <row r="525" spans="1:6">
      <c r="A525" t="s">
        <v>22</v>
      </c>
      <c r="B525" t="s">
        <v>34</v>
      </c>
      <c r="C525">
        <v>29</v>
      </c>
      <c r="D525">
        <v>3</v>
      </c>
      <c r="E525" t="s">
        <v>570</v>
      </c>
      <c r="F525" t="s">
        <v>587</v>
      </c>
    </row>
    <row r="526" spans="1:6">
      <c r="A526" t="s">
        <v>22</v>
      </c>
      <c r="B526" t="s">
        <v>170</v>
      </c>
      <c r="C526">
        <v>31</v>
      </c>
      <c r="D526">
        <v>3</v>
      </c>
      <c r="E526" t="s">
        <v>570</v>
      </c>
      <c r="F526" t="s">
        <v>588</v>
      </c>
    </row>
    <row r="527" spans="1:6">
      <c r="A527" t="s">
        <v>22</v>
      </c>
      <c r="B527" t="s">
        <v>165</v>
      </c>
      <c r="C527">
        <v>37</v>
      </c>
      <c r="D527">
        <v>3</v>
      </c>
      <c r="E527" t="s">
        <v>570</v>
      </c>
      <c r="F527" t="s">
        <v>584</v>
      </c>
    </row>
    <row r="528" spans="1:6">
      <c r="A528" t="s">
        <v>117</v>
      </c>
      <c r="B528" t="s">
        <v>34</v>
      </c>
      <c r="C528">
        <v>8</v>
      </c>
      <c r="D528">
        <v>3</v>
      </c>
      <c r="E528" t="s">
        <v>570</v>
      </c>
      <c r="F528" t="s">
        <v>587</v>
      </c>
    </row>
    <row r="529" spans="1:6">
      <c r="A529" t="s">
        <v>117</v>
      </c>
      <c r="B529" t="s">
        <v>165</v>
      </c>
      <c r="C529">
        <v>13</v>
      </c>
      <c r="D529">
        <v>3</v>
      </c>
      <c r="E529" t="s">
        <v>570</v>
      </c>
      <c r="F529" t="s">
        <v>584</v>
      </c>
    </row>
    <row r="530" spans="1:6">
      <c r="A530" t="s">
        <v>117</v>
      </c>
      <c r="B530" t="s">
        <v>22</v>
      </c>
      <c r="C530">
        <v>15</v>
      </c>
      <c r="D530">
        <v>3</v>
      </c>
      <c r="E530" t="s">
        <v>570</v>
      </c>
      <c r="F530" t="s">
        <v>586</v>
      </c>
    </row>
    <row r="531" spans="1:6">
      <c r="A531" t="s">
        <v>117</v>
      </c>
      <c r="B531" t="s">
        <v>50</v>
      </c>
      <c r="C531">
        <v>23</v>
      </c>
      <c r="D531">
        <v>3</v>
      </c>
      <c r="E531" t="s">
        <v>570</v>
      </c>
      <c r="F531" t="s">
        <v>589</v>
      </c>
    </row>
    <row r="532" spans="1:6">
      <c r="A532" t="s">
        <v>117</v>
      </c>
      <c r="B532" t="s">
        <v>215</v>
      </c>
      <c r="C532">
        <v>28</v>
      </c>
      <c r="D532">
        <v>3</v>
      </c>
      <c r="E532" t="s">
        <v>570</v>
      </c>
      <c r="F532" t="s">
        <v>585</v>
      </c>
    </row>
    <row r="533" spans="1:6">
      <c r="A533" t="s">
        <v>117</v>
      </c>
      <c r="B533" t="s">
        <v>80</v>
      </c>
      <c r="C533">
        <v>31</v>
      </c>
      <c r="D533">
        <v>3</v>
      </c>
      <c r="E533" t="s">
        <v>570</v>
      </c>
      <c r="F533" t="s">
        <v>590</v>
      </c>
    </row>
    <row r="534" spans="1:6">
      <c r="A534" t="s">
        <v>117</v>
      </c>
      <c r="B534" t="s">
        <v>63</v>
      </c>
      <c r="C534">
        <v>36</v>
      </c>
      <c r="D534">
        <v>3</v>
      </c>
      <c r="E534" t="s">
        <v>570</v>
      </c>
      <c r="F534" t="s">
        <v>592</v>
      </c>
    </row>
    <row r="535" spans="1:6">
      <c r="A535" t="s">
        <v>117</v>
      </c>
      <c r="B535" t="s">
        <v>96</v>
      </c>
      <c r="C535">
        <v>38</v>
      </c>
      <c r="D535">
        <v>3</v>
      </c>
      <c r="E535" t="s">
        <v>570</v>
      </c>
      <c r="F535" t="s">
        <v>591</v>
      </c>
    </row>
    <row r="536" spans="1:6">
      <c r="A536" t="s">
        <v>54</v>
      </c>
      <c r="B536" t="s">
        <v>34</v>
      </c>
      <c r="C536">
        <v>9</v>
      </c>
      <c r="D536">
        <v>3</v>
      </c>
      <c r="E536" t="s">
        <v>570</v>
      </c>
      <c r="F536" t="s">
        <v>587</v>
      </c>
    </row>
    <row r="537" spans="1:6">
      <c r="A537" t="s">
        <v>54</v>
      </c>
      <c r="B537" t="s">
        <v>22</v>
      </c>
      <c r="C537">
        <v>13</v>
      </c>
      <c r="D537">
        <v>3</v>
      </c>
      <c r="E537" t="s">
        <v>570</v>
      </c>
      <c r="F537" t="s">
        <v>586</v>
      </c>
    </row>
    <row r="538" spans="1:6">
      <c r="A538" t="s">
        <v>54</v>
      </c>
      <c r="B538" t="s">
        <v>170</v>
      </c>
      <c r="C538">
        <v>21</v>
      </c>
      <c r="D538">
        <v>3</v>
      </c>
      <c r="E538" t="s">
        <v>570</v>
      </c>
      <c r="F538" t="s">
        <v>588</v>
      </c>
    </row>
    <row r="539" spans="1:6">
      <c r="A539" t="s">
        <v>54</v>
      </c>
      <c r="B539" t="s">
        <v>80</v>
      </c>
      <c r="C539">
        <v>26</v>
      </c>
      <c r="D539">
        <v>3</v>
      </c>
      <c r="E539" t="s">
        <v>570</v>
      </c>
      <c r="F539" t="s">
        <v>590</v>
      </c>
    </row>
    <row r="540" spans="1:6">
      <c r="A540" t="s">
        <v>54</v>
      </c>
      <c r="B540" t="s">
        <v>50</v>
      </c>
      <c r="C540">
        <v>28</v>
      </c>
      <c r="D540">
        <v>3</v>
      </c>
      <c r="E540" t="s">
        <v>570</v>
      </c>
      <c r="F540" t="s">
        <v>589</v>
      </c>
    </row>
    <row r="541" spans="1:6">
      <c r="A541" t="s">
        <v>54</v>
      </c>
      <c r="B541" t="s">
        <v>63</v>
      </c>
      <c r="C541">
        <v>34</v>
      </c>
      <c r="D541">
        <v>3</v>
      </c>
      <c r="E541" t="s">
        <v>570</v>
      </c>
      <c r="F541" t="s">
        <v>592</v>
      </c>
    </row>
    <row r="542" spans="1:6">
      <c r="A542" t="s">
        <v>54</v>
      </c>
      <c r="B542" t="s">
        <v>215</v>
      </c>
      <c r="C542">
        <v>37</v>
      </c>
      <c r="D542">
        <v>3</v>
      </c>
      <c r="E542" t="s">
        <v>570</v>
      </c>
      <c r="F542" t="s">
        <v>585</v>
      </c>
    </row>
    <row r="543" spans="1:6">
      <c r="A543" t="s">
        <v>177</v>
      </c>
      <c r="B543" t="s">
        <v>96</v>
      </c>
      <c r="C543">
        <v>8</v>
      </c>
      <c r="D543">
        <v>3</v>
      </c>
      <c r="E543" t="s">
        <v>570</v>
      </c>
      <c r="F543" t="s">
        <v>591</v>
      </c>
    </row>
    <row r="544" spans="1:6">
      <c r="A544" t="s">
        <v>177</v>
      </c>
      <c r="B544" t="s">
        <v>215</v>
      </c>
      <c r="C544">
        <v>10</v>
      </c>
      <c r="D544">
        <v>3</v>
      </c>
      <c r="E544" t="s">
        <v>570</v>
      </c>
      <c r="F544" t="s">
        <v>585</v>
      </c>
    </row>
    <row r="545" spans="1:6">
      <c r="A545" t="s">
        <v>177</v>
      </c>
      <c r="B545" t="s">
        <v>63</v>
      </c>
      <c r="C545">
        <v>12</v>
      </c>
      <c r="D545">
        <v>3</v>
      </c>
      <c r="E545" t="s">
        <v>570</v>
      </c>
      <c r="F545" t="s">
        <v>592</v>
      </c>
    </row>
    <row r="546" spans="1:6">
      <c r="A546" t="s">
        <v>177</v>
      </c>
      <c r="B546" t="s">
        <v>170</v>
      </c>
      <c r="C546">
        <v>17</v>
      </c>
      <c r="D546">
        <v>3</v>
      </c>
      <c r="E546" t="s">
        <v>570</v>
      </c>
      <c r="F546" t="s">
        <v>588</v>
      </c>
    </row>
    <row r="547" spans="1:6">
      <c r="A547" t="s">
        <v>177</v>
      </c>
      <c r="B547" t="s">
        <v>165</v>
      </c>
      <c r="C547">
        <v>18</v>
      </c>
      <c r="D547">
        <v>3</v>
      </c>
      <c r="E547" t="s">
        <v>570</v>
      </c>
      <c r="F547" t="s">
        <v>584</v>
      </c>
    </row>
    <row r="548" spans="1:6">
      <c r="A548" t="s">
        <v>177</v>
      </c>
      <c r="B548" t="s">
        <v>80</v>
      </c>
      <c r="C548">
        <v>20</v>
      </c>
      <c r="D548">
        <v>3</v>
      </c>
      <c r="E548" t="s">
        <v>570</v>
      </c>
      <c r="F548" t="s">
        <v>590</v>
      </c>
    </row>
    <row r="549" spans="1:6">
      <c r="A549" t="s">
        <v>177</v>
      </c>
      <c r="B549" t="s">
        <v>34</v>
      </c>
      <c r="C549">
        <v>25</v>
      </c>
      <c r="D549">
        <v>3</v>
      </c>
      <c r="E549" t="s">
        <v>570</v>
      </c>
      <c r="F549" t="s">
        <v>587</v>
      </c>
    </row>
    <row r="550" spans="1:6">
      <c r="A550" t="s">
        <v>177</v>
      </c>
      <c r="B550" t="s">
        <v>50</v>
      </c>
      <c r="C550">
        <v>29</v>
      </c>
      <c r="D550">
        <v>3</v>
      </c>
      <c r="E550" t="s">
        <v>570</v>
      </c>
      <c r="F550" t="s">
        <v>589</v>
      </c>
    </row>
    <row r="551" spans="1:6">
      <c r="A551" t="s">
        <v>177</v>
      </c>
      <c r="B551" t="s">
        <v>22</v>
      </c>
      <c r="C551">
        <v>36</v>
      </c>
      <c r="D551">
        <v>3</v>
      </c>
      <c r="E551" t="s">
        <v>570</v>
      </c>
      <c r="F551" t="s">
        <v>586</v>
      </c>
    </row>
    <row r="552" spans="1:6">
      <c r="A552" t="s">
        <v>80</v>
      </c>
      <c r="B552" t="s">
        <v>215</v>
      </c>
      <c r="C552">
        <v>7</v>
      </c>
      <c r="D552">
        <v>3</v>
      </c>
      <c r="E552" t="s">
        <v>570</v>
      </c>
      <c r="F552" t="s">
        <v>585</v>
      </c>
    </row>
    <row r="553" spans="1:6">
      <c r="A553" t="s">
        <v>80</v>
      </c>
      <c r="B553" t="s">
        <v>50</v>
      </c>
      <c r="C553">
        <v>9</v>
      </c>
      <c r="D553">
        <v>3</v>
      </c>
      <c r="E553" t="s">
        <v>570</v>
      </c>
      <c r="F553" t="s">
        <v>589</v>
      </c>
    </row>
    <row r="554" spans="1:6">
      <c r="A554" t="s">
        <v>80</v>
      </c>
      <c r="B554" t="s">
        <v>165</v>
      </c>
      <c r="C554">
        <v>14</v>
      </c>
      <c r="D554">
        <v>3</v>
      </c>
      <c r="E554" t="s">
        <v>570</v>
      </c>
      <c r="F554" t="s">
        <v>584</v>
      </c>
    </row>
    <row r="555" spans="1:6">
      <c r="A555" t="s">
        <v>80</v>
      </c>
      <c r="B555" t="s">
        <v>170</v>
      </c>
      <c r="C555">
        <v>18</v>
      </c>
      <c r="D555">
        <v>3</v>
      </c>
      <c r="E555" t="s">
        <v>570</v>
      </c>
      <c r="F555" t="s">
        <v>588</v>
      </c>
    </row>
    <row r="556" spans="1:6">
      <c r="A556" t="s">
        <v>80</v>
      </c>
      <c r="B556" t="s">
        <v>34</v>
      </c>
      <c r="C556">
        <v>23</v>
      </c>
      <c r="D556">
        <v>3</v>
      </c>
      <c r="E556" t="s">
        <v>570</v>
      </c>
      <c r="F556" t="s">
        <v>587</v>
      </c>
    </row>
    <row r="557" spans="1:6">
      <c r="A557" t="s">
        <v>80</v>
      </c>
      <c r="B557" t="s">
        <v>63</v>
      </c>
      <c r="C557">
        <v>27</v>
      </c>
      <c r="D557">
        <v>3</v>
      </c>
      <c r="E557" t="s">
        <v>570</v>
      </c>
      <c r="F557" t="s">
        <v>592</v>
      </c>
    </row>
    <row r="558" spans="1:6">
      <c r="A558" t="s">
        <v>80</v>
      </c>
      <c r="B558" t="s">
        <v>22</v>
      </c>
      <c r="C558">
        <v>30</v>
      </c>
      <c r="D558">
        <v>3</v>
      </c>
      <c r="E558" t="s">
        <v>570</v>
      </c>
      <c r="F558" t="s">
        <v>586</v>
      </c>
    </row>
    <row r="559" spans="1:6">
      <c r="A559" t="s">
        <v>170</v>
      </c>
      <c r="B559" t="s">
        <v>34</v>
      </c>
      <c r="C559">
        <v>14</v>
      </c>
      <c r="D559">
        <v>3</v>
      </c>
      <c r="E559" t="s">
        <v>570</v>
      </c>
      <c r="F559" t="s">
        <v>587</v>
      </c>
    </row>
    <row r="560" spans="1:6">
      <c r="A560" t="s">
        <v>170</v>
      </c>
      <c r="B560" t="s">
        <v>50</v>
      </c>
      <c r="C560">
        <v>16</v>
      </c>
      <c r="D560">
        <v>3</v>
      </c>
      <c r="E560" t="s">
        <v>570</v>
      </c>
      <c r="F560" t="s">
        <v>589</v>
      </c>
    </row>
    <row r="561" spans="1:6">
      <c r="A561" t="s">
        <v>170</v>
      </c>
      <c r="B561" t="s">
        <v>96</v>
      </c>
      <c r="C561">
        <v>22</v>
      </c>
      <c r="D561">
        <v>3</v>
      </c>
      <c r="E561" t="s">
        <v>570</v>
      </c>
      <c r="F561" t="s">
        <v>591</v>
      </c>
    </row>
    <row r="562" spans="1:6">
      <c r="A562" t="s">
        <v>170</v>
      </c>
      <c r="B562" t="s">
        <v>63</v>
      </c>
      <c r="C562">
        <v>24</v>
      </c>
      <c r="D562">
        <v>3</v>
      </c>
      <c r="E562" t="s">
        <v>570</v>
      </c>
      <c r="F562" t="s">
        <v>592</v>
      </c>
    </row>
    <row r="563" spans="1:6">
      <c r="A563" t="s">
        <v>170</v>
      </c>
      <c r="B563" t="s">
        <v>80</v>
      </c>
      <c r="C563">
        <v>28</v>
      </c>
      <c r="D563">
        <v>3</v>
      </c>
      <c r="E563" t="s">
        <v>570</v>
      </c>
      <c r="F563" t="s">
        <v>590</v>
      </c>
    </row>
    <row r="564" spans="1:6">
      <c r="A564" t="s">
        <v>170</v>
      </c>
      <c r="B564" t="s">
        <v>215</v>
      </c>
      <c r="C564">
        <v>30</v>
      </c>
      <c r="D564">
        <v>3</v>
      </c>
      <c r="E564" t="s">
        <v>570</v>
      </c>
      <c r="F564" t="s">
        <v>585</v>
      </c>
    </row>
    <row r="565" spans="1:6">
      <c r="A565" t="s">
        <v>170</v>
      </c>
      <c r="B565" t="s">
        <v>165</v>
      </c>
      <c r="C565">
        <v>33</v>
      </c>
      <c r="D565">
        <v>3</v>
      </c>
      <c r="E565" t="s">
        <v>570</v>
      </c>
      <c r="F565" t="s">
        <v>584</v>
      </c>
    </row>
    <row r="566" spans="1:6">
      <c r="A566" t="s">
        <v>165</v>
      </c>
      <c r="B566" t="s">
        <v>34</v>
      </c>
      <c r="C566">
        <v>6</v>
      </c>
      <c r="D566">
        <v>3</v>
      </c>
      <c r="E566" t="s">
        <v>570</v>
      </c>
      <c r="F566" t="s">
        <v>587</v>
      </c>
    </row>
    <row r="567" spans="1:6">
      <c r="A567" t="s">
        <v>165</v>
      </c>
      <c r="B567" t="s">
        <v>22</v>
      </c>
      <c r="C567">
        <v>8</v>
      </c>
      <c r="D567">
        <v>3</v>
      </c>
      <c r="E567" t="s">
        <v>570</v>
      </c>
      <c r="F567" t="s">
        <v>586</v>
      </c>
    </row>
    <row r="568" spans="1:6">
      <c r="A568" t="s">
        <v>165</v>
      </c>
      <c r="B568" t="s">
        <v>170</v>
      </c>
      <c r="C568">
        <v>15</v>
      </c>
      <c r="D568">
        <v>3</v>
      </c>
      <c r="E568" t="s">
        <v>570</v>
      </c>
      <c r="F568" t="s">
        <v>588</v>
      </c>
    </row>
    <row r="569" spans="1:6">
      <c r="A569" t="s">
        <v>165</v>
      </c>
      <c r="B569" t="s">
        <v>215</v>
      </c>
      <c r="C569">
        <v>24</v>
      </c>
      <c r="D569">
        <v>3</v>
      </c>
      <c r="E569" t="s">
        <v>570</v>
      </c>
      <c r="F569" t="s">
        <v>585</v>
      </c>
    </row>
    <row r="570" spans="1:6">
      <c r="A570" t="s">
        <v>165</v>
      </c>
      <c r="B570" t="s">
        <v>50</v>
      </c>
      <c r="C570">
        <v>26</v>
      </c>
      <c r="D570">
        <v>3</v>
      </c>
      <c r="E570" t="s">
        <v>570</v>
      </c>
      <c r="F570" t="s">
        <v>589</v>
      </c>
    </row>
    <row r="571" spans="1:6">
      <c r="A571" t="s">
        <v>165</v>
      </c>
      <c r="B571" t="s">
        <v>63</v>
      </c>
      <c r="C571">
        <v>29</v>
      </c>
      <c r="D571">
        <v>3</v>
      </c>
      <c r="E571" t="s">
        <v>570</v>
      </c>
      <c r="F571" t="s">
        <v>592</v>
      </c>
    </row>
    <row r="572" spans="1:6">
      <c r="A572" t="s">
        <v>165</v>
      </c>
      <c r="B572" t="s">
        <v>80</v>
      </c>
      <c r="C572">
        <v>34</v>
      </c>
      <c r="D572">
        <v>3</v>
      </c>
      <c r="E572" t="s">
        <v>570</v>
      </c>
      <c r="F572" t="s">
        <v>590</v>
      </c>
    </row>
    <row r="573" spans="1:6">
      <c r="A573" t="s">
        <v>165</v>
      </c>
      <c r="B573" t="s">
        <v>96</v>
      </c>
      <c r="C573">
        <v>36</v>
      </c>
      <c r="D573">
        <v>3</v>
      </c>
      <c r="E573" t="s">
        <v>570</v>
      </c>
      <c r="F573" t="s">
        <v>591</v>
      </c>
    </row>
    <row r="574" spans="1:6">
      <c r="A574" t="s">
        <v>122</v>
      </c>
      <c r="B574" t="s">
        <v>96</v>
      </c>
      <c r="C574">
        <v>17</v>
      </c>
      <c r="D574">
        <v>3</v>
      </c>
      <c r="E574" t="s">
        <v>570</v>
      </c>
      <c r="F574" t="s">
        <v>591</v>
      </c>
    </row>
    <row r="575" spans="1:6">
      <c r="A575" t="s">
        <v>122</v>
      </c>
      <c r="B575" t="s">
        <v>34</v>
      </c>
      <c r="C575">
        <v>18</v>
      </c>
      <c r="D575">
        <v>3</v>
      </c>
      <c r="E575" t="s">
        <v>570</v>
      </c>
      <c r="F575" t="s">
        <v>587</v>
      </c>
    </row>
    <row r="576" spans="1:6">
      <c r="A576" t="s">
        <v>122</v>
      </c>
      <c r="B576" t="s">
        <v>22</v>
      </c>
      <c r="C576">
        <v>21</v>
      </c>
      <c r="D576">
        <v>3</v>
      </c>
      <c r="E576" t="s">
        <v>570</v>
      </c>
      <c r="F576" t="s">
        <v>586</v>
      </c>
    </row>
    <row r="577" spans="1:6">
      <c r="A577" t="s">
        <v>122</v>
      </c>
      <c r="B577" t="s">
        <v>165</v>
      </c>
      <c r="C577">
        <v>23</v>
      </c>
      <c r="D577">
        <v>3</v>
      </c>
      <c r="E577" t="s">
        <v>570</v>
      </c>
      <c r="F577" t="s">
        <v>584</v>
      </c>
    </row>
    <row r="578" spans="1:6">
      <c r="A578" t="s">
        <v>122</v>
      </c>
      <c r="B578" t="s">
        <v>170</v>
      </c>
      <c r="C578">
        <v>29</v>
      </c>
      <c r="D578">
        <v>3</v>
      </c>
      <c r="E578" t="s">
        <v>570</v>
      </c>
      <c r="F578" t="s">
        <v>588</v>
      </c>
    </row>
    <row r="579" spans="1:6">
      <c r="A579" t="s">
        <v>122</v>
      </c>
      <c r="B579" t="s">
        <v>63</v>
      </c>
      <c r="C579">
        <v>31</v>
      </c>
      <c r="D579">
        <v>3</v>
      </c>
      <c r="E579" t="s">
        <v>570</v>
      </c>
      <c r="F579" t="s">
        <v>592</v>
      </c>
    </row>
    <row r="580" spans="1:6">
      <c r="A580" t="s">
        <v>96</v>
      </c>
      <c r="B580" t="s">
        <v>66</v>
      </c>
      <c r="C580">
        <v>10</v>
      </c>
      <c r="D580">
        <v>2</v>
      </c>
      <c r="E580" t="s">
        <v>569</v>
      </c>
      <c r="F580" t="s">
        <v>593</v>
      </c>
    </row>
    <row r="581" spans="1:6">
      <c r="A581" t="s">
        <v>96</v>
      </c>
      <c r="B581" t="s">
        <v>66</v>
      </c>
      <c r="C581">
        <v>21</v>
      </c>
      <c r="D581">
        <v>2</v>
      </c>
      <c r="E581" t="s">
        <v>570</v>
      </c>
      <c r="F581" t="s">
        <v>594</v>
      </c>
    </row>
    <row r="582" spans="1:6">
      <c r="A582" t="s">
        <v>96</v>
      </c>
      <c r="B582" t="s">
        <v>149</v>
      </c>
      <c r="C582">
        <v>23</v>
      </c>
      <c r="D582">
        <v>2</v>
      </c>
      <c r="E582" t="s">
        <v>570</v>
      </c>
      <c r="F582" t="s">
        <v>595</v>
      </c>
    </row>
    <row r="583" spans="1:6">
      <c r="A583" t="s">
        <v>96</v>
      </c>
      <c r="B583" t="s">
        <v>45</v>
      </c>
      <c r="C583">
        <v>14</v>
      </c>
      <c r="D583">
        <v>2</v>
      </c>
      <c r="E583" t="s">
        <v>570</v>
      </c>
      <c r="F583" t="s">
        <v>596</v>
      </c>
    </row>
    <row r="584" spans="1:6">
      <c r="A584" t="s">
        <v>96</v>
      </c>
      <c r="B584" t="s">
        <v>45</v>
      </c>
      <c r="C584">
        <v>34</v>
      </c>
      <c r="D584">
        <v>2</v>
      </c>
      <c r="E584" t="s">
        <v>569</v>
      </c>
      <c r="F584" t="s">
        <v>597</v>
      </c>
    </row>
    <row r="585" spans="1:6">
      <c r="A585" t="s">
        <v>96</v>
      </c>
      <c r="B585" t="s">
        <v>75</v>
      </c>
      <c r="C585">
        <v>16</v>
      </c>
      <c r="D585">
        <v>2</v>
      </c>
      <c r="E585" t="s">
        <v>570</v>
      </c>
      <c r="F585" t="s">
        <v>598</v>
      </c>
    </row>
    <row r="586" spans="1:6">
      <c r="A586" t="s">
        <v>96</v>
      </c>
      <c r="B586" t="s">
        <v>75</v>
      </c>
      <c r="C586">
        <v>27</v>
      </c>
      <c r="D586">
        <v>2</v>
      </c>
      <c r="E586" t="s">
        <v>569</v>
      </c>
      <c r="F586" t="s">
        <v>599</v>
      </c>
    </row>
    <row r="587" spans="1:6">
      <c r="A587" t="s">
        <v>96</v>
      </c>
      <c r="B587" t="s">
        <v>91</v>
      </c>
      <c r="C587">
        <v>26</v>
      </c>
      <c r="D587">
        <v>2</v>
      </c>
      <c r="E587" t="s">
        <v>570</v>
      </c>
      <c r="F587" t="s">
        <v>600</v>
      </c>
    </row>
    <row r="588" spans="1:6">
      <c r="A588" t="s">
        <v>96</v>
      </c>
      <c r="B588" t="s">
        <v>122</v>
      </c>
      <c r="C588">
        <v>28</v>
      </c>
      <c r="D588">
        <v>2</v>
      </c>
      <c r="E588" t="s">
        <v>570</v>
      </c>
      <c r="F588" t="s">
        <v>601</v>
      </c>
    </row>
    <row r="589" spans="1:6">
      <c r="A589" t="s">
        <v>104</v>
      </c>
      <c r="B589" t="s">
        <v>45</v>
      </c>
      <c r="C589">
        <v>10</v>
      </c>
      <c r="D589">
        <v>2</v>
      </c>
      <c r="E589" t="s">
        <v>570</v>
      </c>
      <c r="F589" t="s">
        <v>596</v>
      </c>
    </row>
    <row r="590" spans="1:6">
      <c r="A590" t="s">
        <v>104</v>
      </c>
      <c r="B590" t="s">
        <v>66</v>
      </c>
      <c r="C590">
        <v>19</v>
      </c>
      <c r="D590">
        <v>2</v>
      </c>
      <c r="E590" t="s">
        <v>570</v>
      </c>
      <c r="F590" t="s">
        <v>594</v>
      </c>
    </row>
    <row r="591" spans="1:6">
      <c r="A591" t="s">
        <v>104</v>
      </c>
      <c r="B591" t="s">
        <v>45</v>
      </c>
      <c r="C591">
        <v>21</v>
      </c>
      <c r="D591">
        <v>2</v>
      </c>
      <c r="E591" t="s">
        <v>569</v>
      </c>
      <c r="F591" t="s">
        <v>597</v>
      </c>
    </row>
    <row r="592" spans="1:6">
      <c r="A592" t="s">
        <v>104</v>
      </c>
      <c r="B592" t="s">
        <v>66</v>
      </c>
      <c r="C592">
        <v>25</v>
      </c>
      <c r="D592">
        <v>2</v>
      </c>
      <c r="E592" t="s">
        <v>569</v>
      </c>
      <c r="F592" t="s">
        <v>593</v>
      </c>
    </row>
    <row r="593" spans="1:6">
      <c r="A593" t="s">
        <v>104</v>
      </c>
      <c r="B593" t="s">
        <v>149</v>
      </c>
      <c r="C593">
        <v>26</v>
      </c>
      <c r="D593">
        <v>2</v>
      </c>
      <c r="E593" t="s">
        <v>570</v>
      </c>
      <c r="F593" t="s">
        <v>595</v>
      </c>
    </row>
    <row r="594" spans="1:6">
      <c r="A594" t="s">
        <v>104</v>
      </c>
      <c r="B594" t="s">
        <v>91</v>
      </c>
      <c r="C594">
        <v>28</v>
      </c>
      <c r="D594">
        <v>2</v>
      </c>
      <c r="E594" t="s">
        <v>570</v>
      </c>
      <c r="F594" t="s">
        <v>600</v>
      </c>
    </row>
    <row r="595" spans="1:6">
      <c r="A595" t="s">
        <v>104</v>
      </c>
      <c r="B595" t="s">
        <v>75</v>
      </c>
      <c r="C595">
        <v>31</v>
      </c>
      <c r="D595">
        <v>2</v>
      </c>
      <c r="E595" t="s">
        <v>569</v>
      </c>
      <c r="F595" t="s">
        <v>599</v>
      </c>
    </row>
    <row r="596" spans="1:6">
      <c r="A596" t="s">
        <v>104</v>
      </c>
      <c r="B596" t="s">
        <v>122</v>
      </c>
      <c r="C596">
        <v>34</v>
      </c>
      <c r="D596">
        <v>2</v>
      </c>
      <c r="E596" t="s">
        <v>570</v>
      </c>
      <c r="F596" t="s">
        <v>601</v>
      </c>
    </row>
    <row r="597" spans="1:6">
      <c r="A597" t="s">
        <v>215</v>
      </c>
      <c r="B597" t="s">
        <v>149</v>
      </c>
      <c r="C597">
        <v>9</v>
      </c>
      <c r="D597">
        <v>2</v>
      </c>
      <c r="E597" t="s">
        <v>570</v>
      </c>
      <c r="F597" t="s">
        <v>595</v>
      </c>
    </row>
    <row r="598" spans="1:6">
      <c r="A598" t="s">
        <v>215</v>
      </c>
      <c r="B598" t="s">
        <v>66</v>
      </c>
      <c r="C598">
        <v>12</v>
      </c>
      <c r="D598">
        <v>2</v>
      </c>
      <c r="E598" t="s">
        <v>569</v>
      </c>
      <c r="F598" t="s">
        <v>593</v>
      </c>
    </row>
    <row r="599" spans="1:6">
      <c r="A599" t="s">
        <v>215</v>
      </c>
      <c r="B599" t="s">
        <v>91</v>
      </c>
      <c r="C599">
        <v>14</v>
      </c>
      <c r="D599">
        <v>2</v>
      </c>
      <c r="E599" t="s">
        <v>570</v>
      </c>
      <c r="F599" t="s">
        <v>600</v>
      </c>
    </row>
    <row r="600" spans="1:6">
      <c r="A600" t="s">
        <v>215</v>
      </c>
      <c r="B600" t="s">
        <v>75</v>
      </c>
      <c r="C600">
        <v>15</v>
      </c>
      <c r="D600">
        <v>2</v>
      </c>
      <c r="E600" t="s">
        <v>569</v>
      </c>
      <c r="F600" t="s">
        <v>599</v>
      </c>
    </row>
    <row r="601" spans="1:6">
      <c r="A601" t="s">
        <v>215</v>
      </c>
      <c r="B601" t="s">
        <v>66</v>
      </c>
      <c r="C601">
        <v>23</v>
      </c>
      <c r="D601">
        <v>2</v>
      </c>
      <c r="E601" t="s">
        <v>570</v>
      </c>
      <c r="F601" t="s">
        <v>594</v>
      </c>
    </row>
    <row r="602" spans="1:6">
      <c r="A602" t="s">
        <v>215</v>
      </c>
      <c r="B602" t="s">
        <v>45</v>
      </c>
      <c r="C602">
        <v>29</v>
      </c>
      <c r="D602">
        <v>2</v>
      </c>
      <c r="E602" t="s">
        <v>570</v>
      </c>
      <c r="F602" t="s">
        <v>596</v>
      </c>
    </row>
    <row r="603" spans="1:6">
      <c r="A603" t="s">
        <v>215</v>
      </c>
      <c r="B603" t="s">
        <v>75</v>
      </c>
      <c r="C603">
        <v>33</v>
      </c>
      <c r="D603">
        <v>2</v>
      </c>
      <c r="E603" t="s">
        <v>570</v>
      </c>
      <c r="F603" t="s">
        <v>598</v>
      </c>
    </row>
    <row r="604" spans="1:6">
      <c r="A604" t="s">
        <v>215</v>
      </c>
      <c r="B604" t="s">
        <v>122</v>
      </c>
      <c r="C604">
        <v>38</v>
      </c>
      <c r="D604">
        <v>2</v>
      </c>
      <c r="E604" t="s">
        <v>570</v>
      </c>
      <c r="F604" t="s">
        <v>601</v>
      </c>
    </row>
    <row r="605" spans="1:6">
      <c r="A605" t="s">
        <v>63</v>
      </c>
      <c r="B605" t="s">
        <v>45</v>
      </c>
      <c r="C605">
        <v>8</v>
      </c>
      <c r="D605">
        <v>2</v>
      </c>
      <c r="E605" t="s">
        <v>569</v>
      </c>
      <c r="F605" t="s">
        <v>597</v>
      </c>
    </row>
    <row r="606" spans="1:6">
      <c r="A606" t="s">
        <v>63</v>
      </c>
      <c r="B606" t="s">
        <v>66</v>
      </c>
      <c r="C606">
        <v>17</v>
      </c>
      <c r="D606">
        <v>2</v>
      </c>
      <c r="E606" t="s">
        <v>569</v>
      </c>
      <c r="F606" t="s">
        <v>593</v>
      </c>
    </row>
    <row r="607" spans="1:6">
      <c r="A607" t="s">
        <v>63</v>
      </c>
      <c r="B607" t="s">
        <v>75</v>
      </c>
      <c r="C607">
        <v>18</v>
      </c>
      <c r="D607">
        <v>2</v>
      </c>
      <c r="E607" t="s">
        <v>569</v>
      </c>
      <c r="F607" t="s">
        <v>599</v>
      </c>
    </row>
    <row r="608" spans="1:6">
      <c r="A608" t="s">
        <v>63</v>
      </c>
      <c r="B608" t="s">
        <v>91</v>
      </c>
      <c r="C608">
        <v>19</v>
      </c>
      <c r="D608">
        <v>2</v>
      </c>
      <c r="E608" t="s">
        <v>570</v>
      </c>
      <c r="F608" t="s">
        <v>600</v>
      </c>
    </row>
    <row r="609" spans="1:6">
      <c r="A609" t="s">
        <v>63</v>
      </c>
      <c r="B609" t="s">
        <v>75</v>
      </c>
      <c r="C609">
        <v>26</v>
      </c>
      <c r="D609">
        <v>2</v>
      </c>
      <c r="E609" t="s">
        <v>570</v>
      </c>
      <c r="F609" t="s">
        <v>598</v>
      </c>
    </row>
    <row r="610" spans="1:6">
      <c r="A610" t="s">
        <v>63</v>
      </c>
      <c r="B610" t="s">
        <v>66</v>
      </c>
      <c r="C610">
        <v>28</v>
      </c>
      <c r="D610">
        <v>2</v>
      </c>
      <c r="E610" t="s">
        <v>570</v>
      </c>
      <c r="F610" t="s">
        <v>594</v>
      </c>
    </row>
    <row r="611" spans="1:6">
      <c r="A611" t="s">
        <v>63</v>
      </c>
      <c r="B611" t="s">
        <v>149</v>
      </c>
      <c r="C611">
        <v>33</v>
      </c>
      <c r="D611">
        <v>2</v>
      </c>
      <c r="E611" t="s">
        <v>570</v>
      </c>
      <c r="F611" t="s">
        <v>595</v>
      </c>
    </row>
    <row r="612" spans="1:6">
      <c r="A612" t="s">
        <v>63</v>
      </c>
      <c r="B612" t="s">
        <v>45</v>
      </c>
      <c r="C612">
        <v>37</v>
      </c>
      <c r="D612">
        <v>2</v>
      </c>
      <c r="E612" t="s">
        <v>570</v>
      </c>
      <c r="F612" t="s">
        <v>596</v>
      </c>
    </row>
    <row r="613" spans="1:6">
      <c r="A613" t="s">
        <v>34</v>
      </c>
      <c r="B613" t="s">
        <v>91</v>
      </c>
      <c r="C613">
        <v>7</v>
      </c>
      <c r="D613">
        <v>2</v>
      </c>
      <c r="E613" t="s">
        <v>570</v>
      </c>
      <c r="F613" t="s">
        <v>600</v>
      </c>
    </row>
    <row r="614" spans="1:6">
      <c r="A614" t="s">
        <v>34</v>
      </c>
      <c r="B614" t="s">
        <v>45</v>
      </c>
      <c r="C614">
        <v>11</v>
      </c>
      <c r="D614">
        <v>2</v>
      </c>
      <c r="E614" t="s">
        <v>569</v>
      </c>
      <c r="F614" t="s">
        <v>597</v>
      </c>
    </row>
    <row r="615" spans="1:6">
      <c r="A615" t="s">
        <v>34</v>
      </c>
      <c r="B615" t="s">
        <v>66</v>
      </c>
      <c r="C615">
        <v>16</v>
      </c>
      <c r="D615">
        <v>2</v>
      </c>
      <c r="E615" t="s">
        <v>570</v>
      </c>
      <c r="F615" t="s">
        <v>594</v>
      </c>
    </row>
    <row r="616" spans="1:6">
      <c r="A616" t="s">
        <v>34</v>
      </c>
      <c r="B616" t="s">
        <v>45</v>
      </c>
      <c r="C616">
        <v>24</v>
      </c>
      <c r="D616">
        <v>2</v>
      </c>
      <c r="E616" t="s">
        <v>570</v>
      </c>
      <c r="F616" t="s">
        <v>596</v>
      </c>
    </row>
    <row r="617" spans="1:6">
      <c r="A617" t="s">
        <v>34</v>
      </c>
      <c r="B617" t="s">
        <v>122</v>
      </c>
      <c r="C617">
        <v>26</v>
      </c>
      <c r="D617">
        <v>2</v>
      </c>
      <c r="E617" t="s">
        <v>570</v>
      </c>
      <c r="F617" t="s">
        <v>601</v>
      </c>
    </row>
    <row r="618" spans="1:6">
      <c r="A618" t="s">
        <v>34</v>
      </c>
      <c r="B618" t="s">
        <v>66</v>
      </c>
      <c r="C618">
        <v>27</v>
      </c>
      <c r="D618">
        <v>2</v>
      </c>
      <c r="E618" t="s">
        <v>569</v>
      </c>
      <c r="F618" t="s">
        <v>593</v>
      </c>
    </row>
    <row r="619" spans="1:6">
      <c r="A619" t="s">
        <v>34</v>
      </c>
      <c r="B619" t="s">
        <v>149</v>
      </c>
      <c r="C619">
        <v>28</v>
      </c>
      <c r="D619">
        <v>2</v>
      </c>
      <c r="E619" t="s">
        <v>570</v>
      </c>
      <c r="F619" t="s">
        <v>595</v>
      </c>
    </row>
    <row r="620" spans="1:6">
      <c r="A620" t="s">
        <v>34</v>
      </c>
      <c r="B620" t="s">
        <v>75</v>
      </c>
      <c r="C620">
        <v>30</v>
      </c>
      <c r="D620">
        <v>2</v>
      </c>
      <c r="E620" t="s">
        <v>570</v>
      </c>
      <c r="F620" t="s">
        <v>598</v>
      </c>
    </row>
    <row r="621" spans="1:6">
      <c r="A621" t="s">
        <v>158</v>
      </c>
      <c r="B621" t="s">
        <v>122</v>
      </c>
      <c r="C621">
        <v>8</v>
      </c>
      <c r="D621">
        <v>2</v>
      </c>
      <c r="E621" t="s">
        <v>570</v>
      </c>
      <c r="F621" t="s">
        <v>601</v>
      </c>
    </row>
    <row r="622" spans="1:6">
      <c r="A622" t="s">
        <v>158</v>
      </c>
      <c r="B622" t="s">
        <v>91</v>
      </c>
      <c r="C622">
        <v>13</v>
      </c>
      <c r="D622">
        <v>2</v>
      </c>
      <c r="E622" t="s">
        <v>570</v>
      </c>
      <c r="F622" t="s">
        <v>600</v>
      </c>
    </row>
    <row r="623" spans="1:6">
      <c r="A623" t="s">
        <v>158</v>
      </c>
      <c r="B623" t="s">
        <v>75</v>
      </c>
      <c r="C623">
        <v>17</v>
      </c>
      <c r="D623">
        <v>2</v>
      </c>
      <c r="E623" t="s">
        <v>569</v>
      </c>
      <c r="F623" t="s">
        <v>599</v>
      </c>
    </row>
    <row r="624" spans="1:6">
      <c r="A624" t="s">
        <v>158</v>
      </c>
      <c r="B624" t="s">
        <v>66</v>
      </c>
      <c r="C624">
        <v>18</v>
      </c>
      <c r="D624">
        <v>2</v>
      </c>
      <c r="E624" t="s">
        <v>569</v>
      </c>
      <c r="F624" t="s">
        <v>593</v>
      </c>
    </row>
    <row r="625" spans="1:6">
      <c r="A625" t="s">
        <v>158</v>
      </c>
      <c r="B625" t="s">
        <v>66</v>
      </c>
      <c r="C625">
        <v>26</v>
      </c>
      <c r="D625">
        <v>2</v>
      </c>
      <c r="E625" t="s">
        <v>570</v>
      </c>
      <c r="F625" t="s">
        <v>594</v>
      </c>
    </row>
    <row r="626" spans="1:6">
      <c r="A626" t="s">
        <v>158</v>
      </c>
      <c r="B626" t="s">
        <v>75</v>
      </c>
      <c r="C626">
        <v>28</v>
      </c>
      <c r="D626">
        <v>2</v>
      </c>
      <c r="E626" t="s">
        <v>570</v>
      </c>
      <c r="F626" t="s">
        <v>598</v>
      </c>
    </row>
    <row r="627" spans="1:6">
      <c r="A627" t="s">
        <v>158</v>
      </c>
      <c r="B627" t="s">
        <v>45</v>
      </c>
      <c r="C627">
        <v>30</v>
      </c>
      <c r="D627">
        <v>2</v>
      </c>
      <c r="E627" t="s">
        <v>569</v>
      </c>
      <c r="F627" t="s">
        <v>597</v>
      </c>
    </row>
    <row r="628" spans="1:6">
      <c r="A628" t="s">
        <v>158</v>
      </c>
      <c r="B628" t="s">
        <v>149</v>
      </c>
      <c r="C628">
        <v>31</v>
      </c>
      <c r="D628">
        <v>2</v>
      </c>
      <c r="E628" t="s">
        <v>570</v>
      </c>
      <c r="F628" t="s">
        <v>595</v>
      </c>
    </row>
    <row r="629" spans="1:6">
      <c r="A629" t="s">
        <v>75</v>
      </c>
      <c r="B629" t="s">
        <v>149</v>
      </c>
      <c r="C629">
        <v>8</v>
      </c>
      <c r="D629">
        <v>2</v>
      </c>
      <c r="E629" t="s">
        <v>570</v>
      </c>
      <c r="F629" t="s">
        <v>595</v>
      </c>
    </row>
    <row r="630" spans="1:6">
      <c r="A630" t="s">
        <v>75</v>
      </c>
      <c r="B630" t="s">
        <v>91</v>
      </c>
      <c r="C630">
        <v>11</v>
      </c>
      <c r="D630">
        <v>2</v>
      </c>
      <c r="E630" t="s">
        <v>570</v>
      </c>
      <c r="F630" t="s">
        <v>600</v>
      </c>
    </row>
    <row r="631" spans="1:6">
      <c r="A631" t="s">
        <v>75</v>
      </c>
      <c r="B631" t="s">
        <v>66</v>
      </c>
      <c r="C631">
        <v>13</v>
      </c>
      <c r="D631">
        <v>2</v>
      </c>
      <c r="E631" t="s">
        <v>570</v>
      </c>
      <c r="F631" t="s">
        <v>594</v>
      </c>
    </row>
    <row r="632" spans="1:6">
      <c r="A632" t="s">
        <v>75</v>
      </c>
      <c r="B632" t="s">
        <v>66</v>
      </c>
      <c r="C632">
        <v>20</v>
      </c>
      <c r="D632">
        <v>2</v>
      </c>
      <c r="E632" t="s">
        <v>569</v>
      </c>
      <c r="F632" t="s">
        <v>593</v>
      </c>
    </row>
    <row r="633" spans="1:6">
      <c r="A633" t="s">
        <v>75</v>
      </c>
      <c r="B633" t="s">
        <v>45</v>
      </c>
      <c r="C633">
        <v>32</v>
      </c>
      <c r="D633">
        <v>2</v>
      </c>
      <c r="E633" t="s">
        <v>569</v>
      </c>
      <c r="F633" t="s">
        <v>597</v>
      </c>
    </row>
    <row r="634" spans="1:6">
      <c r="A634" t="s">
        <v>75</v>
      </c>
      <c r="B634" t="s">
        <v>122</v>
      </c>
      <c r="C634">
        <v>36</v>
      </c>
      <c r="D634">
        <v>2</v>
      </c>
      <c r="E634" t="s">
        <v>570</v>
      </c>
      <c r="F634" t="s">
        <v>601</v>
      </c>
    </row>
    <row r="635" spans="1:6">
      <c r="A635" t="s">
        <v>91</v>
      </c>
      <c r="B635" t="s">
        <v>75</v>
      </c>
      <c r="C635">
        <v>11</v>
      </c>
      <c r="D635">
        <v>2</v>
      </c>
      <c r="E635" t="s">
        <v>569</v>
      </c>
      <c r="F635" t="s">
        <v>599</v>
      </c>
    </row>
    <row r="636" spans="1:6">
      <c r="A636" t="s">
        <v>91</v>
      </c>
      <c r="B636" t="s">
        <v>45</v>
      </c>
      <c r="C636">
        <v>12</v>
      </c>
      <c r="D636">
        <v>2</v>
      </c>
      <c r="E636" t="s">
        <v>570</v>
      </c>
      <c r="F636" t="s">
        <v>596</v>
      </c>
    </row>
    <row r="637" spans="1:6">
      <c r="A637" t="s">
        <v>91</v>
      </c>
      <c r="B637" t="s">
        <v>122</v>
      </c>
      <c r="C637">
        <v>22</v>
      </c>
      <c r="D637">
        <v>2</v>
      </c>
      <c r="E637" t="s">
        <v>570</v>
      </c>
      <c r="F637" t="s">
        <v>601</v>
      </c>
    </row>
    <row r="638" spans="1:6">
      <c r="A638" t="s">
        <v>91</v>
      </c>
      <c r="B638" t="s">
        <v>45</v>
      </c>
      <c r="C638">
        <v>23</v>
      </c>
      <c r="D638">
        <v>2</v>
      </c>
      <c r="E638" t="s">
        <v>569</v>
      </c>
      <c r="F638" t="s">
        <v>597</v>
      </c>
    </row>
    <row r="639" spans="1:6">
      <c r="A639" t="s">
        <v>91</v>
      </c>
      <c r="B639" t="s">
        <v>75</v>
      </c>
      <c r="C639">
        <v>24</v>
      </c>
      <c r="D639">
        <v>2</v>
      </c>
      <c r="E639" t="s">
        <v>570</v>
      </c>
      <c r="F639" t="s">
        <v>598</v>
      </c>
    </row>
    <row r="640" spans="1:6">
      <c r="A640" t="s">
        <v>91</v>
      </c>
      <c r="B640" t="s">
        <v>149</v>
      </c>
      <c r="C640">
        <v>29</v>
      </c>
      <c r="D640">
        <v>2</v>
      </c>
      <c r="E640" t="s">
        <v>570</v>
      </c>
      <c r="F640" t="s">
        <v>595</v>
      </c>
    </row>
    <row r="641" spans="1:6">
      <c r="A641" t="s">
        <v>91</v>
      </c>
      <c r="B641" t="s">
        <v>66</v>
      </c>
      <c r="C641">
        <v>30</v>
      </c>
      <c r="D641">
        <v>2</v>
      </c>
      <c r="E641" t="s">
        <v>569</v>
      </c>
      <c r="F641" t="s">
        <v>593</v>
      </c>
    </row>
    <row r="642" spans="1:6">
      <c r="A642" t="s">
        <v>50</v>
      </c>
      <c r="B642" t="s">
        <v>45</v>
      </c>
      <c r="C642">
        <v>6</v>
      </c>
      <c r="D642">
        <v>2</v>
      </c>
      <c r="E642" t="s">
        <v>569</v>
      </c>
      <c r="F642" t="s">
        <v>597</v>
      </c>
    </row>
    <row r="643" spans="1:6">
      <c r="A643" t="s">
        <v>50</v>
      </c>
      <c r="B643" t="s">
        <v>75</v>
      </c>
      <c r="C643">
        <v>10</v>
      </c>
      <c r="D643">
        <v>2</v>
      </c>
      <c r="E643" t="s">
        <v>570</v>
      </c>
      <c r="F643" t="s">
        <v>598</v>
      </c>
    </row>
    <row r="644" spans="1:6">
      <c r="A644" t="s">
        <v>50</v>
      </c>
      <c r="B644" t="s">
        <v>149</v>
      </c>
      <c r="C644">
        <v>14</v>
      </c>
      <c r="D644">
        <v>2</v>
      </c>
      <c r="E644" t="s">
        <v>570</v>
      </c>
      <c r="F644" t="s">
        <v>595</v>
      </c>
    </row>
    <row r="645" spans="1:6">
      <c r="A645" t="s">
        <v>50</v>
      </c>
      <c r="B645" t="s">
        <v>75</v>
      </c>
      <c r="C645">
        <v>21</v>
      </c>
      <c r="D645">
        <v>2</v>
      </c>
      <c r="E645" t="s">
        <v>569</v>
      </c>
      <c r="F645" t="s">
        <v>599</v>
      </c>
    </row>
    <row r="646" spans="1:6">
      <c r="A646" t="s">
        <v>50</v>
      </c>
      <c r="B646" t="s">
        <v>122</v>
      </c>
      <c r="C646">
        <v>30</v>
      </c>
      <c r="D646">
        <v>2</v>
      </c>
      <c r="E646" t="s">
        <v>570</v>
      </c>
      <c r="F646" t="s">
        <v>601</v>
      </c>
    </row>
    <row r="647" spans="1:6">
      <c r="A647" t="s">
        <v>50</v>
      </c>
      <c r="B647" t="s">
        <v>45</v>
      </c>
      <c r="C647">
        <v>35</v>
      </c>
      <c r="D647">
        <v>2</v>
      </c>
      <c r="E647" t="s">
        <v>570</v>
      </c>
      <c r="F647" t="s">
        <v>596</v>
      </c>
    </row>
    <row r="648" spans="1:6">
      <c r="A648" t="s">
        <v>50</v>
      </c>
      <c r="B648" t="s">
        <v>66</v>
      </c>
      <c r="C648">
        <v>38</v>
      </c>
      <c r="D648">
        <v>2</v>
      </c>
      <c r="E648" t="s">
        <v>569</v>
      </c>
      <c r="F648" t="s">
        <v>593</v>
      </c>
    </row>
    <row r="649" spans="1:6">
      <c r="A649" t="s">
        <v>149</v>
      </c>
      <c r="B649" t="s">
        <v>66</v>
      </c>
      <c r="C649">
        <v>6</v>
      </c>
      <c r="D649">
        <v>2</v>
      </c>
      <c r="E649" t="s">
        <v>569</v>
      </c>
      <c r="F649" t="s">
        <v>593</v>
      </c>
    </row>
    <row r="650" spans="1:6">
      <c r="A650" t="s">
        <v>149</v>
      </c>
      <c r="B650" t="s">
        <v>45</v>
      </c>
      <c r="C650">
        <v>7</v>
      </c>
      <c r="D650">
        <v>2</v>
      </c>
      <c r="E650" t="s">
        <v>570</v>
      </c>
      <c r="F650" t="s">
        <v>596</v>
      </c>
    </row>
    <row r="651" spans="1:6">
      <c r="A651" t="s">
        <v>149</v>
      </c>
      <c r="B651" t="s">
        <v>75</v>
      </c>
      <c r="C651">
        <v>8</v>
      </c>
      <c r="D651">
        <v>2</v>
      </c>
      <c r="E651" t="s">
        <v>569</v>
      </c>
      <c r="F651" t="s">
        <v>599</v>
      </c>
    </row>
    <row r="652" spans="1:6">
      <c r="A652" t="s">
        <v>149</v>
      </c>
      <c r="B652" t="s">
        <v>122</v>
      </c>
      <c r="C652">
        <v>20</v>
      </c>
      <c r="D652">
        <v>2</v>
      </c>
      <c r="E652" t="s">
        <v>570</v>
      </c>
      <c r="F652" t="s">
        <v>601</v>
      </c>
    </row>
    <row r="653" spans="1:6">
      <c r="A653" t="s">
        <v>149</v>
      </c>
      <c r="B653" t="s">
        <v>66</v>
      </c>
      <c r="C653">
        <v>35</v>
      </c>
      <c r="D653">
        <v>2</v>
      </c>
      <c r="E653" t="s">
        <v>570</v>
      </c>
      <c r="F653" t="s">
        <v>594</v>
      </c>
    </row>
    <row r="654" spans="1:6">
      <c r="A654" t="s">
        <v>149</v>
      </c>
      <c r="B654" t="s">
        <v>45</v>
      </c>
      <c r="C654">
        <v>36</v>
      </c>
      <c r="D654">
        <v>2</v>
      </c>
      <c r="E654" t="s">
        <v>569</v>
      </c>
      <c r="F654" t="s">
        <v>597</v>
      </c>
    </row>
    <row r="655" spans="1:6">
      <c r="A655" t="s">
        <v>149</v>
      </c>
      <c r="B655" t="s">
        <v>75</v>
      </c>
      <c r="C655">
        <v>37</v>
      </c>
      <c r="D655">
        <v>2</v>
      </c>
      <c r="E655" t="s">
        <v>570</v>
      </c>
      <c r="F655" t="s">
        <v>598</v>
      </c>
    </row>
    <row r="656" spans="1:6">
      <c r="A656" t="s">
        <v>45</v>
      </c>
      <c r="B656" t="s">
        <v>66</v>
      </c>
      <c r="C656">
        <v>9</v>
      </c>
      <c r="D656">
        <v>2</v>
      </c>
      <c r="E656" t="s">
        <v>570</v>
      </c>
      <c r="F656" t="s">
        <v>594</v>
      </c>
    </row>
    <row r="657" spans="1:6">
      <c r="A657" t="s">
        <v>45</v>
      </c>
      <c r="B657" t="s">
        <v>122</v>
      </c>
      <c r="C657">
        <v>15</v>
      </c>
      <c r="D657">
        <v>2</v>
      </c>
      <c r="E657" t="s">
        <v>570</v>
      </c>
      <c r="F657" t="s">
        <v>601</v>
      </c>
    </row>
    <row r="658" spans="1:6">
      <c r="A658" t="s">
        <v>45</v>
      </c>
      <c r="B658" t="s">
        <v>66</v>
      </c>
      <c r="C658">
        <v>22</v>
      </c>
      <c r="D658">
        <v>2</v>
      </c>
      <c r="E658" t="s">
        <v>569</v>
      </c>
      <c r="F658" t="s">
        <v>593</v>
      </c>
    </row>
    <row r="659" spans="1:6">
      <c r="A659" t="s">
        <v>45</v>
      </c>
      <c r="B659" t="s">
        <v>91</v>
      </c>
      <c r="C659">
        <v>23</v>
      </c>
      <c r="D659">
        <v>2</v>
      </c>
      <c r="E659" t="s">
        <v>570</v>
      </c>
      <c r="F659" t="s">
        <v>600</v>
      </c>
    </row>
    <row r="660" spans="1:6">
      <c r="A660" t="s">
        <v>45</v>
      </c>
      <c r="B660" t="s">
        <v>75</v>
      </c>
      <c r="C660">
        <v>32</v>
      </c>
      <c r="D660">
        <v>2</v>
      </c>
      <c r="E660" t="s">
        <v>570</v>
      </c>
      <c r="F660" t="s">
        <v>598</v>
      </c>
    </row>
    <row r="661" spans="1:6">
      <c r="A661" t="s">
        <v>45</v>
      </c>
      <c r="B661" t="s">
        <v>149</v>
      </c>
      <c r="C661">
        <v>36</v>
      </c>
      <c r="D661">
        <v>2</v>
      </c>
      <c r="E661" t="s">
        <v>570</v>
      </c>
      <c r="F661" t="s">
        <v>595</v>
      </c>
    </row>
    <row r="662" spans="1:6">
      <c r="A662" t="s">
        <v>66</v>
      </c>
      <c r="B662" t="s">
        <v>149</v>
      </c>
      <c r="C662">
        <v>6</v>
      </c>
      <c r="D662">
        <v>2</v>
      </c>
      <c r="E662" t="s">
        <v>570</v>
      </c>
      <c r="F662" t="s">
        <v>595</v>
      </c>
    </row>
    <row r="663" spans="1:6">
      <c r="A663" t="s">
        <v>66</v>
      </c>
      <c r="B663" t="s">
        <v>45</v>
      </c>
      <c r="C663">
        <v>9</v>
      </c>
      <c r="D663">
        <v>2</v>
      </c>
      <c r="E663" t="s">
        <v>569</v>
      </c>
      <c r="F663" t="s">
        <v>597</v>
      </c>
    </row>
    <row r="664" spans="1:6">
      <c r="A664" t="s">
        <v>66</v>
      </c>
      <c r="B664" t="s">
        <v>75</v>
      </c>
      <c r="C664">
        <v>13</v>
      </c>
      <c r="D664">
        <v>2</v>
      </c>
      <c r="E664" t="s">
        <v>569</v>
      </c>
      <c r="F664" t="s">
        <v>599</v>
      </c>
    </row>
    <row r="665" spans="1:6">
      <c r="A665" t="s">
        <v>66</v>
      </c>
      <c r="B665" t="s">
        <v>75</v>
      </c>
      <c r="C665">
        <v>20</v>
      </c>
      <c r="D665">
        <v>2</v>
      </c>
      <c r="E665" t="s">
        <v>570</v>
      </c>
      <c r="F665" t="s">
        <v>598</v>
      </c>
    </row>
    <row r="666" spans="1:6">
      <c r="A666" t="s">
        <v>66</v>
      </c>
      <c r="B666" t="s">
        <v>45</v>
      </c>
      <c r="C666">
        <v>22</v>
      </c>
      <c r="D666">
        <v>2</v>
      </c>
      <c r="E666" t="s">
        <v>570</v>
      </c>
      <c r="F666" t="s">
        <v>596</v>
      </c>
    </row>
    <row r="667" spans="1:6">
      <c r="A667" t="s">
        <v>66</v>
      </c>
      <c r="B667" t="s">
        <v>122</v>
      </c>
      <c r="C667">
        <v>24</v>
      </c>
      <c r="D667">
        <v>2</v>
      </c>
      <c r="E667" t="s">
        <v>570</v>
      </c>
      <c r="F667" t="s">
        <v>601</v>
      </c>
    </row>
    <row r="668" spans="1:6">
      <c r="A668" t="s">
        <v>66</v>
      </c>
      <c r="B668" t="s">
        <v>91</v>
      </c>
      <c r="C668">
        <v>30</v>
      </c>
      <c r="D668">
        <v>2</v>
      </c>
      <c r="E668" t="s">
        <v>570</v>
      </c>
      <c r="F668" t="s">
        <v>600</v>
      </c>
    </row>
    <row r="669" spans="1:6">
      <c r="A669" t="s">
        <v>22</v>
      </c>
      <c r="B669" t="s">
        <v>122</v>
      </c>
      <c r="C669">
        <v>10</v>
      </c>
      <c r="D669">
        <v>2</v>
      </c>
      <c r="E669" t="s">
        <v>570</v>
      </c>
      <c r="F669" t="s">
        <v>601</v>
      </c>
    </row>
    <row r="670" spans="1:6">
      <c r="A670" t="s">
        <v>22</v>
      </c>
      <c r="B670" t="s">
        <v>75</v>
      </c>
      <c r="C670">
        <v>12</v>
      </c>
      <c r="D670">
        <v>2</v>
      </c>
      <c r="E670" t="s">
        <v>570</v>
      </c>
      <c r="F670" t="s">
        <v>598</v>
      </c>
    </row>
    <row r="671" spans="1:6">
      <c r="A671" t="s">
        <v>22</v>
      </c>
      <c r="B671" t="s">
        <v>66</v>
      </c>
      <c r="C671">
        <v>14</v>
      </c>
      <c r="D671">
        <v>2</v>
      </c>
      <c r="E671" t="s">
        <v>570</v>
      </c>
      <c r="F671" t="s">
        <v>594</v>
      </c>
    </row>
    <row r="672" spans="1:6">
      <c r="A672" t="s">
        <v>22</v>
      </c>
      <c r="B672" t="s">
        <v>149</v>
      </c>
      <c r="C672">
        <v>16</v>
      </c>
      <c r="D672">
        <v>2</v>
      </c>
      <c r="E672" t="s">
        <v>570</v>
      </c>
      <c r="F672" t="s">
        <v>595</v>
      </c>
    </row>
    <row r="673" spans="1:6">
      <c r="A673" t="s">
        <v>22</v>
      </c>
      <c r="B673" t="s">
        <v>45</v>
      </c>
      <c r="C673">
        <v>18</v>
      </c>
      <c r="D673">
        <v>2</v>
      </c>
      <c r="E673" t="s">
        <v>569</v>
      </c>
      <c r="F673" t="s">
        <v>597</v>
      </c>
    </row>
    <row r="674" spans="1:6">
      <c r="A674" t="s">
        <v>22</v>
      </c>
      <c r="B674" t="s">
        <v>75</v>
      </c>
      <c r="C674">
        <v>23</v>
      </c>
      <c r="D674">
        <v>2</v>
      </c>
      <c r="E674" t="s">
        <v>569</v>
      </c>
      <c r="F674" t="s">
        <v>599</v>
      </c>
    </row>
    <row r="675" spans="1:6">
      <c r="A675" t="s">
        <v>22</v>
      </c>
      <c r="B675" t="s">
        <v>45</v>
      </c>
      <c r="C675">
        <v>28</v>
      </c>
      <c r="D675">
        <v>2</v>
      </c>
      <c r="E675" t="s">
        <v>570</v>
      </c>
      <c r="F675" t="s">
        <v>596</v>
      </c>
    </row>
    <row r="676" spans="1:6">
      <c r="A676" t="s">
        <v>22</v>
      </c>
      <c r="B676" t="s">
        <v>66</v>
      </c>
      <c r="C676">
        <v>34</v>
      </c>
      <c r="D676">
        <v>2</v>
      </c>
      <c r="E676" t="s">
        <v>569</v>
      </c>
      <c r="F676" t="s">
        <v>593</v>
      </c>
    </row>
    <row r="677" spans="1:6">
      <c r="A677" t="s">
        <v>117</v>
      </c>
      <c r="B677" t="s">
        <v>122</v>
      </c>
      <c r="C677">
        <v>16</v>
      </c>
      <c r="D677">
        <v>2</v>
      </c>
      <c r="E677" t="s">
        <v>570</v>
      </c>
      <c r="F677" t="s">
        <v>601</v>
      </c>
    </row>
    <row r="678" spans="1:6">
      <c r="A678" t="s">
        <v>117</v>
      </c>
      <c r="B678" t="s">
        <v>45</v>
      </c>
      <c r="C678">
        <v>17</v>
      </c>
      <c r="D678">
        <v>2</v>
      </c>
      <c r="E678" t="s">
        <v>569</v>
      </c>
      <c r="F678" t="s">
        <v>597</v>
      </c>
    </row>
    <row r="679" spans="1:6">
      <c r="A679" t="s">
        <v>117</v>
      </c>
      <c r="B679" t="s">
        <v>75</v>
      </c>
      <c r="C679">
        <v>19</v>
      </c>
      <c r="D679">
        <v>2</v>
      </c>
      <c r="E679" t="s">
        <v>570</v>
      </c>
      <c r="F679" t="s">
        <v>598</v>
      </c>
    </row>
    <row r="680" spans="1:6">
      <c r="A680" t="s">
        <v>117</v>
      </c>
      <c r="B680" t="s">
        <v>91</v>
      </c>
      <c r="C680">
        <v>21</v>
      </c>
      <c r="D680">
        <v>2</v>
      </c>
      <c r="E680" t="s">
        <v>570</v>
      </c>
      <c r="F680" t="s">
        <v>600</v>
      </c>
    </row>
    <row r="681" spans="1:6">
      <c r="A681" t="s">
        <v>117</v>
      </c>
      <c r="B681" t="s">
        <v>75</v>
      </c>
      <c r="C681">
        <v>25</v>
      </c>
      <c r="D681">
        <v>2</v>
      </c>
      <c r="E681" t="s">
        <v>569</v>
      </c>
      <c r="F681" t="s">
        <v>599</v>
      </c>
    </row>
    <row r="682" spans="1:6">
      <c r="A682" t="s">
        <v>117</v>
      </c>
      <c r="B682" t="s">
        <v>45</v>
      </c>
      <c r="C682">
        <v>26</v>
      </c>
      <c r="D682">
        <v>2</v>
      </c>
      <c r="E682" t="s">
        <v>570</v>
      </c>
      <c r="F682" t="s">
        <v>596</v>
      </c>
    </row>
    <row r="683" spans="1:6">
      <c r="A683" t="s">
        <v>117</v>
      </c>
      <c r="B683" t="s">
        <v>66</v>
      </c>
      <c r="C683">
        <v>29</v>
      </c>
      <c r="D683">
        <v>2</v>
      </c>
      <c r="E683" t="s">
        <v>570</v>
      </c>
      <c r="F683" t="s">
        <v>594</v>
      </c>
    </row>
    <row r="684" spans="1:6">
      <c r="A684" t="s">
        <v>54</v>
      </c>
      <c r="B684" t="s">
        <v>66</v>
      </c>
      <c r="C684">
        <v>7</v>
      </c>
      <c r="D684">
        <v>2</v>
      </c>
      <c r="E684" t="s">
        <v>570</v>
      </c>
      <c r="F684" t="s">
        <v>594</v>
      </c>
    </row>
    <row r="685" spans="1:6">
      <c r="A685" t="s">
        <v>54</v>
      </c>
      <c r="B685" t="s">
        <v>149</v>
      </c>
      <c r="C685">
        <v>11</v>
      </c>
      <c r="D685">
        <v>2</v>
      </c>
      <c r="E685" t="s">
        <v>570</v>
      </c>
      <c r="F685" t="s">
        <v>595</v>
      </c>
    </row>
    <row r="686" spans="1:6">
      <c r="A686" t="s">
        <v>54</v>
      </c>
      <c r="B686" t="s">
        <v>45</v>
      </c>
      <c r="C686">
        <v>16</v>
      </c>
      <c r="D686">
        <v>2</v>
      </c>
      <c r="E686" t="s">
        <v>570</v>
      </c>
      <c r="F686" t="s">
        <v>596</v>
      </c>
    </row>
    <row r="687" spans="1:6">
      <c r="A687" t="s">
        <v>54</v>
      </c>
      <c r="B687" t="s">
        <v>122</v>
      </c>
      <c r="C687">
        <v>19</v>
      </c>
      <c r="D687">
        <v>2</v>
      </c>
      <c r="E687" t="s">
        <v>570</v>
      </c>
      <c r="F687" t="s">
        <v>601</v>
      </c>
    </row>
    <row r="688" spans="1:6">
      <c r="A688" t="s">
        <v>54</v>
      </c>
      <c r="B688" t="s">
        <v>45</v>
      </c>
      <c r="C688">
        <v>27</v>
      </c>
      <c r="D688">
        <v>2</v>
      </c>
      <c r="E688" t="s">
        <v>569</v>
      </c>
      <c r="F688" t="s">
        <v>597</v>
      </c>
    </row>
    <row r="689" spans="1:6">
      <c r="A689" t="s">
        <v>54</v>
      </c>
      <c r="B689" t="s">
        <v>75</v>
      </c>
      <c r="C689">
        <v>29</v>
      </c>
      <c r="D689">
        <v>2</v>
      </c>
      <c r="E689" t="s">
        <v>569</v>
      </c>
      <c r="F689" t="s">
        <v>599</v>
      </c>
    </row>
    <row r="690" spans="1:6">
      <c r="A690" t="s">
        <v>54</v>
      </c>
      <c r="B690" t="s">
        <v>91</v>
      </c>
      <c r="C690">
        <v>32</v>
      </c>
      <c r="D690">
        <v>2</v>
      </c>
      <c r="E690" t="s">
        <v>570</v>
      </c>
      <c r="F690" t="s">
        <v>600</v>
      </c>
    </row>
    <row r="691" spans="1:6">
      <c r="A691" t="s">
        <v>54</v>
      </c>
      <c r="B691" t="s">
        <v>66</v>
      </c>
      <c r="C691">
        <v>36</v>
      </c>
      <c r="D691">
        <v>2</v>
      </c>
      <c r="E691" t="s">
        <v>569</v>
      </c>
      <c r="F691" t="s">
        <v>593</v>
      </c>
    </row>
    <row r="692" spans="1:6">
      <c r="A692" t="s">
        <v>177</v>
      </c>
      <c r="B692" t="s">
        <v>122</v>
      </c>
      <c r="C692">
        <v>6</v>
      </c>
      <c r="D692">
        <v>2</v>
      </c>
      <c r="E692" t="s">
        <v>570</v>
      </c>
      <c r="F692" t="s">
        <v>601</v>
      </c>
    </row>
    <row r="693" spans="1:6">
      <c r="A693" t="s">
        <v>177</v>
      </c>
      <c r="B693" t="s">
        <v>75</v>
      </c>
      <c r="C693">
        <v>14</v>
      </c>
      <c r="D693">
        <v>2</v>
      </c>
      <c r="E693" t="s">
        <v>570</v>
      </c>
      <c r="F693" t="s">
        <v>598</v>
      </c>
    </row>
    <row r="694" spans="1:6">
      <c r="A694" t="s">
        <v>177</v>
      </c>
      <c r="B694" t="s">
        <v>45</v>
      </c>
      <c r="C694">
        <v>31</v>
      </c>
      <c r="D694">
        <v>2</v>
      </c>
      <c r="E694" t="s">
        <v>570</v>
      </c>
      <c r="F694" t="s">
        <v>596</v>
      </c>
    </row>
    <row r="695" spans="1:6">
      <c r="A695" t="s">
        <v>177</v>
      </c>
      <c r="B695" t="s">
        <v>66</v>
      </c>
      <c r="C695">
        <v>32</v>
      </c>
      <c r="D695">
        <v>2</v>
      </c>
      <c r="E695" t="s">
        <v>569</v>
      </c>
      <c r="F695" t="s">
        <v>593</v>
      </c>
    </row>
    <row r="696" spans="1:6">
      <c r="A696" t="s">
        <v>177</v>
      </c>
      <c r="B696" t="s">
        <v>91</v>
      </c>
      <c r="C696">
        <v>33</v>
      </c>
      <c r="D696">
        <v>2</v>
      </c>
      <c r="E696" t="s">
        <v>570</v>
      </c>
      <c r="F696" t="s">
        <v>600</v>
      </c>
    </row>
    <row r="697" spans="1:6">
      <c r="A697" t="s">
        <v>177</v>
      </c>
      <c r="B697" t="s">
        <v>75</v>
      </c>
      <c r="C697">
        <v>34</v>
      </c>
      <c r="D697">
        <v>2</v>
      </c>
      <c r="E697" t="s">
        <v>569</v>
      </c>
      <c r="F697" t="s">
        <v>599</v>
      </c>
    </row>
    <row r="698" spans="1:6">
      <c r="A698" t="s">
        <v>177</v>
      </c>
      <c r="B698" t="s">
        <v>149</v>
      </c>
      <c r="C698">
        <v>38</v>
      </c>
      <c r="D698">
        <v>2</v>
      </c>
      <c r="E698" t="s">
        <v>570</v>
      </c>
      <c r="F698" t="s">
        <v>595</v>
      </c>
    </row>
    <row r="699" spans="1:6">
      <c r="A699" t="s">
        <v>80</v>
      </c>
      <c r="B699" t="s">
        <v>75</v>
      </c>
      <c r="C699">
        <v>6</v>
      </c>
      <c r="D699">
        <v>2</v>
      </c>
      <c r="E699" t="s">
        <v>569</v>
      </c>
      <c r="F699" t="s">
        <v>599</v>
      </c>
    </row>
    <row r="700" spans="1:6">
      <c r="A700" t="s">
        <v>80</v>
      </c>
      <c r="B700" t="s">
        <v>66</v>
      </c>
      <c r="C700">
        <v>15</v>
      </c>
      <c r="D700">
        <v>2</v>
      </c>
      <c r="E700" t="s">
        <v>569</v>
      </c>
      <c r="F700" t="s">
        <v>593</v>
      </c>
    </row>
    <row r="701" spans="1:6">
      <c r="A701" t="s">
        <v>80</v>
      </c>
      <c r="B701" t="s">
        <v>149</v>
      </c>
      <c r="C701">
        <v>21</v>
      </c>
      <c r="D701">
        <v>2</v>
      </c>
      <c r="E701" t="s">
        <v>570</v>
      </c>
      <c r="F701" t="s">
        <v>595</v>
      </c>
    </row>
    <row r="702" spans="1:6">
      <c r="A702" t="s">
        <v>80</v>
      </c>
      <c r="B702" t="s">
        <v>122</v>
      </c>
      <c r="C702">
        <v>32</v>
      </c>
      <c r="D702">
        <v>2</v>
      </c>
      <c r="E702" t="s">
        <v>570</v>
      </c>
      <c r="F702" t="s">
        <v>601</v>
      </c>
    </row>
    <row r="703" spans="1:6">
      <c r="A703" t="s">
        <v>80</v>
      </c>
      <c r="B703" t="s">
        <v>66</v>
      </c>
      <c r="C703">
        <v>33</v>
      </c>
      <c r="D703">
        <v>2</v>
      </c>
      <c r="E703" t="s">
        <v>570</v>
      </c>
      <c r="F703" t="s">
        <v>594</v>
      </c>
    </row>
    <row r="704" spans="1:6">
      <c r="A704" t="s">
        <v>80</v>
      </c>
      <c r="B704" t="s">
        <v>75</v>
      </c>
      <c r="C704">
        <v>35</v>
      </c>
      <c r="D704">
        <v>2</v>
      </c>
      <c r="E704" t="s">
        <v>570</v>
      </c>
      <c r="F704" t="s">
        <v>598</v>
      </c>
    </row>
    <row r="705" spans="1:6">
      <c r="A705" t="s">
        <v>80</v>
      </c>
      <c r="B705" t="s">
        <v>91</v>
      </c>
      <c r="C705">
        <v>37</v>
      </c>
      <c r="D705">
        <v>2</v>
      </c>
      <c r="E705" t="s">
        <v>570</v>
      </c>
      <c r="F705" t="s">
        <v>600</v>
      </c>
    </row>
    <row r="706" spans="1:6">
      <c r="A706" t="s">
        <v>80</v>
      </c>
      <c r="B706" t="s">
        <v>45</v>
      </c>
      <c r="C706">
        <v>38</v>
      </c>
      <c r="D706">
        <v>2</v>
      </c>
      <c r="E706" t="s">
        <v>569</v>
      </c>
      <c r="F706" t="s">
        <v>597</v>
      </c>
    </row>
    <row r="707" spans="1:6">
      <c r="A707" t="s">
        <v>170</v>
      </c>
      <c r="B707" t="s">
        <v>66</v>
      </c>
      <c r="C707">
        <v>8</v>
      </c>
      <c r="D707">
        <v>2</v>
      </c>
      <c r="E707" t="s">
        <v>569</v>
      </c>
      <c r="F707" t="s">
        <v>593</v>
      </c>
    </row>
    <row r="708" spans="1:6">
      <c r="A708" t="s">
        <v>170</v>
      </c>
      <c r="B708" t="s">
        <v>45</v>
      </c>
      <c r="C708">
        <v>13</v>
      </c>
      <c r="D708">
        <v>2</v>
      </c>
      <c r="E708" t="s">
        <v>569</v>
      </c>
      <c r="F708" t="s">
        <v>597</v>
      </c>
    </row>
    <row r="709" spans="1:6">
      <c r="A709" t="s">
        <v>170</v>
      </c>
      <c r="B709" t="s">
        <v>149</v>
      </c>
      <c r="C709">
        <v>19</v>
      </c>
      <c r="D709">
        <v>2</v>
      </c>
      <c r="E709" t="s">
        <v>570</v>
      </c>
      <c r="F709" t="s">
        <v>595</v>
      </c>
    </row>
    <row r="710" spans="1:6">
      <c r="A710" t="s">
        <v>170</v>
      </c>
      <c r="B710" t="s">
        <v>45</v>
      </c>
      <c r="C710">
        <v>20</v>
      </c>
      <c r="D710">
        <v>2</v>
      </c>
      <c r="E710" t="s">
        <v>570</v>
      </c>
      <c r="F710" t="s">
        <v>596</v>
      </c>
    </row>
    <row r="711" spans="1:6">
      <c r="A711" t="s">
        <v>170</v>
      </c>
      <c r="B711" t="s">
        <v>91</v>
      </c>
      <c r="C711">
        <v>35</v>
      </c>
      <c r="D711">
        <v>2</v>
      </c>
      <c r="E711" t="s">
        <v>570</v>
      </c>
      <c r="F711" t="s">
        <v>600</v>
      </c>
    </row>
    <row r="712" spans="1:6">
      <c r="A712" t="s">
        <v>170</v>
      </c>
      <c r="B712" t="s">
        <v>66</v>
      </c>
      <c r="C712">
        <v>37</v>
      </c>
      <c r="D712">
        <v>2</v>
      </c>
      <c r="E712" t="s">
        <v>570</v>
      </c>
      <c r="F712" t="s">
        <v>594</v>
      </c>
    </row>
    <row r="713" spans="1:6">
      <c r="A713" t="s">
        <v>170</v>
      </c>
      <c r="B713" t="s">
        <v>75</v>
      </c>
      <c r="C713">
        <v>38</v>
      </c>
      <c r="D713">
        <v>2</v>
      </c>
      <c r="E713" t="s">
        <v>569</v>
      </c>
      <c r="F713" t="s">
        <v>599</v>
      </c>
    </row>
    <row r="714" spans="1:6">
      <c r="A714" t="s">
        <v>165</v>
      </c>
      <c r="B714" t="s">
        <v>75</v>
      </c>
      <c r="C714">
        <v>9</v>
      </c>
      <c r="D714">
        <v>2</v>
      </c>
      <c r="E714" t="s">
        <v>569</v>
      </c>
      <c r="F714" t="s">
        <v>599</v>
      </c>
    </row>
    <row r="715" spans="1:6">
      <c r="A715" t="s">
        <v>165</v>
      </c>
      <c r="B715" t="s">
        <v>122</v>
      </c>
      <c r="C715">
        <v>12</v>
      </c>
      <c r="D715">
        <v>2</v>
      </c>
      <c r="E715" t="s">
        <v>570</v>
      </c>
      <c r="F715" t="s">
        <v>601</v>
      </c>
    </row>
    <row r="716" spans="1:6">
      <c r="A716" t="s">
        <v>165</v>
      </c>
      <c r="B716" t="s">
        <v>91</v>
      </c>
      <c r="C716">
        <v>16</v>
      </c>
      <c r="D716">
        <v>2</v>
      </c>
      <c r="E716" t="s">
        <v>570</v>
      </c>
      <c r="F716" t="s">
        <v>600</v>
      </c>
    </row>
    <row r="717" spans="1:6">
      <c r="A717" t="s">
        <v>165</v>
      </c>
      <c r="B717" t="s">
        <v>45</v>
      </c>
      <c r="C717">
        <v>19</v>
      </c>
      <c r="D717">
        <v>2</v>
      </c>
      <c r="E717" t="s">
        <v>570</v>
      </c>
      <c r="F717" t="s">
        <v>596</v>
      </c>
    </row>
    <row r="718" spans="1:6">
      <c r="A718" t="s">
        <v>165</v>
      </c>
      <c r="B718" t="s">
        <v>75</v>
      </c>
      <c r="C718">
        <v>22</v>
      </c>
      <c r="D718">
        <v>2</v>
      </c>
      <c r="E718" t="s">
        <v>570</v>
      </c>
      <c r="F718" t="s">
        <v>598</v>
      </c>
    </row>
    <row r="719" spans="1:6">
      <c r="A719" t="s">
        <v>165</v>
      </c>
      <c r="B719" t="s">
        <v>45</v>
      </c>
      <c r="C719">
        <v>25</v>
      </c>
      <c r="D719">
        <v>2</v>
      </c>
      <c r="E719" t="s">
        <v>569</v>
      </c>
      <c r="F719" t="s">
        <v>597</v>
      </c>
    </row>
    <row r="720" spans="1:6">
      <c r="A720" t="s">
        <v>165</v>
      </c>
      <c r="B720" t="s">
        <v>66</v>
      </c>
      <c r="C720">
        <v>31</v>
      </c>
      <c r="D720">
        <v>2</v>
      </c>
      <c r="E720" t="s">
        <v>570</v>
      </c>
      <c r="F720" t="s">
        <v>594</v>
      </c>
    </row>
    <row r="721" spans="1:6">
      <c r="A721" t="s">
        <v>122</v>
      </c>
      <c r="B721" t="s">
        <v>75</v>
      </c>
      <c r="C721">
        <v>7</v>
      </c>
      <c r="D721">
        <v>2</v>
      </c>
      <c r="E721" t="s">
        <v>570</v>
      </c>
      <c r="F721" t="s">
        <v>598</v>
      </c>
    </row>
    <row r="722" spans="1:6">
      <c r="A722" t="s">
        <v>122</v>
      </c>
      <c r="B722" t="s">
        <v>91</v>
      </c>
      <c r="C722">
        <v>9</v>
      </c>
      <c r="D722">
        <v>2</v>
      </c>
      <c r="E722" t="s">
        <v>570</v>
      </c>
      <c r="F722" t="s">
        <v>600</v>
      </c>
    </row>
    <row r="723" spans="1:6">
      <c r="A723" t="s">
        <v>122</v>
      </c>
      <c r="B723" t="s">
        <v>66</v>
      </c>
      <c r="C723">
        <v>11</v>
      </c>
      <c r="D723">
        <v>2</v>
      </c>
      <c r="E723" t="s">
        <v>570</v>
      </c>
      <c r="F723" t="s">
        <v>594</v>
      </c>
    </row>
    <row r="724" spans="1:6">
      <c r="A724" t="s">
        <v>122</v>
      </c>
      <c r="B724" t="s">
        <v>149</v>
      </c>
      <c r="C724">
        <v>13</v>
      </c>
      <c r="D724">
        <v>2</v>
      </c>
      <c r="E724" t="s">
        <v>570</v>
      </c>
      <c r="F724" t="s">
        <v>595</v>
      </c>
    </row>
    <row r="725" spans="1:6">
      <c r="A725" t="s">
        <v>122</v>
      </c>
      <c r="B725" t="s">
        <v>45</v>
      </c>
      <c r="C725">
        <v>15</v>
      </c>
      <c r="D725">
        <v>2</v>
      </c>
      <c r="E725" t="s">
        <v>569</v>
      </c>
      <c r="F725" t="s">
        <v>597</v>
      </c>
    </row>
    <row r="726" spans="1:6">
      <c r="A726" t="s">
        <v>122</v>
      </c>
      <c r="B726" t="s">
        <v>66</v>
      </c>
      <c r="C726">
        <v>24</v>
      </c>
      <c r="D726">
        <v>2</v>
      </c>
      <c r="E726" t="s">
        <v>569</v>
      </c>
      <c r="F726" t="s">
        <v>593</v>
      </c>
    </row>
    <row r="727" spans="1:6">
      <c r="A727" t="s">
        <v>122</v>
      </c>
      <c r="B727" t="s">
        <v>45</v>
      </c>
      <c r="C727">
        <v>33</v>
      </c>
      <c r="D727">
        <v>2</v>
      </c>
      <c r="E727" t="s">
        <v>570</v>
      </c>
      <c r="F727" t="s">
        <v>596</v>
      </c>
    </row>
    <row r="728" spans="1:6">
      <c r="A728" t="s">
        <v>122</v>
      </c>
      <c r="B728" t="s">
        <v>75</v>
      </c>
      <c r="C728">
        <v>36</v>
      </c>
      <c r="D728">
        <v>2</v>
      </c>
      <c r="E728" t="s">
        <v>569</v>
      </c>
      <c r="F728" t="s">
        <v>599</v>
      </c>
    </row>
    <row r="729" spans="1:6">
      <c r="A729" t="s">
        <v>96</v>
      </c>
      <c r="B729" t="s">
        <v>158</v>
      </c>
      <c r="C729">
        <v>6</v>
      </c>
      <c r="D729">
        <v>4</v>
      </c>
      <c r="E729" t="s">
        <v>569</v>
      </c>
      <c r="F729" t="s">
        <v>602</v>
      </c>
    </row>
    <row r="730" spans="1:6">
      <c r="A730" t="s">
        <v>96</v>
      </c>
      <c r="B730" t="s">
        <v>158</v>
      </c>
      <c r="C730">
        <v>37</v>
      </c>
      <c r="D730">
        <v>4</v>
      </c>
      <c r="E730" t="s">
        <v>570</v>
      </c>
      <c r="F730" t="s">
        <v>603</v>
      </c>
    </row>
    <row r="731" spans="1:6">
      <c r="A731" t="s">
        <v>96</v>
      </c>
      <c r="B731" t="s">
        <v>104</v>
      </c>
      <c r="C731">
        <v>33</v>
      </c>
      <c r="D731">
        <v>4</v>
      </c>
      <c r="E731" t="s">
        <v>570</v>
      </c>
      <c r="F731" t="s">
        <v>604</v>
      </c>
    </row>
    <row r="732" spans="1:6">
      <c r="A732" t="s">
        <v>96</v>
      </c>
      <c r="B732" t="s">
        <v>177</v>
      </c>
      <c r="C732">
        <v>8</v>
      </c>
      <c r="D732">
        <v>4</v>
      </c>
      <c r="E732" t="s">
        <v>569</v>
      </c>
      <c r="F732" t="s">
        <v>605</v>
      </c>
    </row>
    <row r="733" spans="1:6">
      <c r="A733" t="s">
        <v>96</v>
      </c>
      <c r="B733" t="s">
        <v>177</v>
      </c>
      <c r="C733">
        <v>35</v>
      </c>
      <c r="D733">
        <v>4</v>
      </c>
      <c r="E733" t="s">
        <v>570</v>
      </c>
      <c r="F733" t="s">
        <v>606</v>
      </c>
    </row>
    <row r="734" spans="1:6">
      <c r="A734" t="s">
        <v>96</v>
      </c>
      <c r="B734" t="s">
        <v>34</v>
      </c>
      <c r="C734">
        <v>20</v>
      </c>
      <c r="D734">
        <v>4</v>
      </c>
      <c r="E734" t="s">
        <v>569</v>
      </c>
      <c r="F734" t="s">
        <v>607</v>
      </c>
    </row>
    <row r="735" spans="1:6">
      <c r="A735" t="s">
        <v>96</v>
      </c>
      <c r="B735" t="s">
        <v>117</v>
      </c>
      <c r="C735">
        <v>38</v>
      </c>
      <c r="D735">
        <v>4</v>
      </c>
      <c r="E735" t="s">
        <v>569</v>
      </c>
      <c r="F735" t="s">
        <v>608</v>
      </c>
    </row>
    <row r="736" spans="1:6">
      <c r="A736" t="s">
        <v>96</v>
      </c>
      <c r="B736" t="s">
        <v>54</v>
      </c>
      <c r="C736">
        <v>31</v>
      </c>
      <c r="D736">
        <v>4</v>
      </c>
      <c r="E736" t="s">
        <v>570</v>
      </c>
      <c r="F736" t="s">
        <v>606</v>
      </c>
    </row>
    <row r="737" spans="1:6">
      <c r="A737" t="s">
        <v>104</v>
      </c>
      <c r="B737" t="s">
        <v>117</v>
      </c>
      <c r="C737">
        <v>9</v>
      </c>
      <c r="D737">
        <v>4</v>
      </c>
      <c r="E737" t="s">
        <v>569</v>
      </c>
      <c r="F737" t="s">
        <v>608</v>
      </c>
    </row>
    <row r="738" spans="1:6">
      <c r="A738" t="s">
        <v>104</v>
      </c>
      <c r="B738" t="s">
        <v>54</v>
      </c>
      <c r="C738">
        <v>12</v>
      </c>
      <c r="D738">
        <v>4</v>
      </c>
      <c r="E738" t="s">
        <v>570</v>
      </c>
      <c r="F738" t="s">
        <v>606</v>
      </c>
    </row>
    <row r="739" spans="1:6">
      <c r="A739" t="s">
        <v>104</v>
      </c>
      <c r="B739" t="s">
        <v>177</v>
      </c>
      <c r="C739">
        <v>16</v>
      </c>
      <c r="D739">
        <v>4</v>
      </c>
      <c r="E739" t="s">
        <v>570</v>
      </c>
      <c r="F739" t="s">
        <v>606</v>
      </c>
    </row>
    <row r="740" spans="1:6">
      <c r="A740" t="s">
        <v>104</v>
      </c>
      <c r="B740" t="s">
        <v>117</v>
      </c>
      <c r="C740">
        <v>24</v>
      </c>
      <c r="D740">
        <v>4</v>
      </c>
      <c r="E740" t="s">
        <v>570</v>
      </c>
      <c r="F740" t="s">
        <v>609</v>
      </c>
    </row>
    <row r="741" spans="1:6">
      <c r="A741" t="s">
        <v>104</v>
      </c>
      <c r="B741" t="s">
        <v>177</v>
      </c>
      <c r="C741">
        <v>27</v>
      </c>
      <c r="D741">
        <v>4</v>
      </c>
      <c r="E741" t="s">
        <v>569</v>
      </c>
      <c r="F741" t="s">
        <v>605</v>
      </c>
    </row>
    <row r="742" spans="1:6">
      <c r="A742" t="s">
        <v>104</v>
      </c>
      <c r="B742" t="s">
        <v>158</v>
      </c>
      <c r="C742">
        <v>29</v>
      </c>
      <c r="D742">
        <v>4</v>
      </c>
      <c r="E742" t="s">
        <v>569</v>
      </c>
      <c r="F742" t="s">
        <v>602</v>
      </c>
    </row>
    <row r="743" spans="1:6">
      <c r="A743" t="s">
        <v>215</v>
      </c>
      <c r="B743" t="s">
        <v>54</v>
      </c>
      <c r="C743">
        <v>8</v>
      </c>
      <c r="D743">
        <v>4</v>
      </c>
      <c r="E743" t="s">
        <v>570</v>
      </c>
      <c r="F743" t="s">
        <v>606</v>
      </c>
    </row>
    <row r="744" spans="1:6">
      <c r="A744" t="s">
        <v>215</v>
      </c>
      <c r="B744" t="s">
        <v>177</v>
      </c>
      <c r="C744">
        <v>10</v>
      </c>
      <c r="D744">
        <v>4</v>
      </c>
      <c r="E744" t="s">
        <v>569</v>
      </c>
      <c r="F744" t="s">
        <v>605</v>
      </c>
    </row>
    <row r="745" spans="1:6">
      <c r="A745" t="s">
        <v>215</v>
      </c>
      <c r="B745" t="s">
        <v>158</v>
      </c>
      <c r="C745">
        <v>16</v>
      </c>
      <c r="D745">
        <v>4</v>
      </c>
      <c r="E745" t="s">
        <v>569</v>
      </c>
      <c r="F745" t="s">
        <v>602</v>
      </c>
    </row>
    <row r="746" spans="1:6">
      <c r="A746" t="s">
        <v>215</v>
      </c>
      <c r="B746" t="s">
        <v>117</v>
      </c>
      <c r="C746">
        <v>18</v>
      </c>
      <c r="D746">
        <v>4</v>
      </c>
      <c r="E746" t="s">
        <v>570</v>
      </c>
      <c r="F746" t="s">
        <v>609</v>
      </c>
    </row>
    <row r="747" spans="1:6">
      <c r="A747" t="s">
        <v>215</v>
      </c>
      <c r="B747" t="s">
        <v>177</v>
      </c>
      <c r="C747">
        <v>21</v>
      </c>
      <c r="D747">
        <v>4</v>
      </c>
      <c r="E747" t="s">
        <v>570</v>
      </c>
      <c r="F747" t="s">
        <v>606</v>
      </c>
    </row>
    <row r="748" spans="1:6">
      <c r="A748" t="s">
        <v>215</v>
      </c>
      <c r="B748" t="s">
        <v>158</v>
      </c>
      <c r="C748">
        <v>27</v>
      </c>
      <c r="D748">
        <v>4</v>
      </c>
      <c r="E748" t="s">
        <v>570</v>
      </c>
      <c r="F748" t="s">
        <v>603</v>
      </c>
    </row>
    <row r="749" spans="1:6">
      <c r="A749" t="s">
        <v>215</v>
      </c>
      <c r="B749" t="s">
        <v>117</v>
      </c>
      <c r="C749">
        <v>28</v>
      </c>
      <c r="D749">
        <v>4</v>
      </c>
      <c r="E749" t="s">
        <v>569</v>
      </c>
      <c r="F749" t="s">
        <v>608</v>
      </c>
    </row>
    <row r="750" spans="1:6">
      <c r="A750" t="s">
        <v>63</v>
      </c>
      <c r="B750" t="s">
        <v>117</v>
      </c>
      <c r="C750">
        <v>7</v>
      </c>
      <c r="D750">
        <v>4</v>
      </c>
      <c r="E750" t="s">
        <v>570</v>
      </c>
      <c r="F750" t="s">
        <v>609</v>
      </c>
    </row>
    <row r="751" spans="1:6">
      <c r="A751" t="s">
        <v>63</v>
      </c>
      <c r="B751" t="s">
        <v>34</v>
      </c>
      <c r="C751">
        <v>10</v>
      </c>
      <c r="D751">
        <v>4</v>
      </c>
      <c r="E751" t="s">
        <v>569</v>
      </c>
      <c r="F751" t="s">
        <v>607</v>
      </c>
    </row>
    <row r="752" spans="1:6">
      <c r="A752" t="s">
        <v>63</v>
      </c>
      <c r="B752" t="s">
        <v>177</v>
      </c>
      <c r="C752">
        <v>12</v>
      </c>
      <c r="D752">
        <v>4</v>
      </c>
      <c r="E752" t="s">
        <v>569</v>
      </c>
      <c r="F752" t="s">
        <v>605</v>
      </c>
    </row>
    <row r="753" spans="1:6">
      <c r="A753" t="s">
        <v>63</v>
      </c>
      <c r="B753" t="s">
        <v>104</v>
      </c>
      <c r="C753">
        <v>13</v>
      </c>
      <c r="D753">
        <v>4</v>
      </c>
      <c r="E753" t="s">
        <v>570</v>
      </c>
      <c r="F753" t="s">
        <v>604</v>
      </c>
    </row>
    <row r="754" spans="1:6">
      <c r="A754" t="s">
        <v>63</v>
      </c>
      <c r="B754" t="s">
        <v>54</v>
      </c>
      <c r="C754">
        <v>14</v>
      </c>
      <c r="D754">
        <v>4</v>
      </c>
      <c r="E754" t="s">
        <v>570</v>
      </c>
      <c r="F754" t="s">
        <v>606</v>
      </c>
    </row>
    <row r="755" spans="1:6">
      <c r="A755" t="s">
        <v>63</v>
      </c>
      <c r="B755" t="s">
        <v>177</v>
      </c>
      <c r="C755">
        <v>23</v>
      </c>
      <c r="D755">
        <v>4</v>
      </c>
      <c r="E755" t="s">
        <v>570</v>
      </c>
      <c r="F755" t="s">
        <v>606</v>
      </c>
    </row>
    <row r="756" spans="1:6">
      <c r="A756" t="s">
        <v>63</v>
      </c>
      <c r="B756" t="s">
        <v>117</v>
      </c>
      <c r="C756">
        <v>36</v>
      </c>
      <c r="D756">
        <v>4</v>
      </c>
      <c r="E756" t="s">
        <v>569</v>
      </c>
      <c r="F756" t="s">
        <v>608</v>
      </c>
    </row>
    <row r="757" spans="1:6">
      <c r="A757" t="s">
        <v>63</v>
      </c>
      <c r="B757" t="s">
        <v>158</v>
      </c>
      <c r="C757">
        <v>38</v>
      </c>
      <c r="D757">
        <v>4</v>
      </c>
      <c r="E757" t="s">
        <v>569</v>
      </c>
      <c r="F757" t="s">
        <v>602</v>
      </c>
    </row>
    <row r="758" spans="1:6">
      <c r="A758" t="s">
        <v>34</v>
      </c>
      <c r="B758" t="s">
        <v>117</v>
      </c>
      <c r="C758">
        <v>8</v>
      </c>
      <c r="D758">
        <v>4</v>
      </c>
      <c r="E758" t="s">
        <v>569</v>
      </c>
      <c r="F758" t="s">
        <v>608</v>
      </c>
    </row>
    <row r="759" spans="1:6">
      <c r="A759" t="s">
        <v>34</v>
      </c>
      <c r="B759" t="s">
        <v>177</v>
      </c>
      <c r="C759">
        <v>19</v>
      </c>
      <c r="D759">
        <v>4</v>
      </c>
      <c r="E759" t="s">
        <v>570</v>
      </c>
      <c r="F759" t="s">
        <v>606</v>
      </c>
    </row>
    <row r="760" spans="1:6">
      <c r="A760" t="s">
        <v>34</v>
      </c>
      <c r="B760" t="s">
        <v>54</v>
      </c>
      <c r="C760">
        <v>22</v>
      </c>
      <c r="D760">
        <v>4</v>
      </c>
      <c r="E760" t="s">
        <v>570</v>
      </c>
      <c r="F760" t="s">
        <v>606</v>
      </c>
    </row>
    <row r="761" spans="1:6">
      <c r="A761" t="s">
        <v>34</v>
      </c>
      <c r="B761" t="s">
        <v>177</v>
      </c>
      <c r="C761">
        <v>25</v>
      </c>
      <c r="D761">
        <v>4</v>
      </c>
      <c r="E761" t="s">
        <v>569</v>
      </c>
      <c r="F761" t="s">
        <v>605</v>
      </c>
    </row>
    <row r="762" spans="1:6">
      <c r="A762" t="s">
        <v>34</v>
      </c>
      <c r="B762" t="s">
        <v>158</v>
      </c>
      <c r="C762">
        <v>32</v>
      </c>
      <c r="D762">
        <v>4</v>
      </c>
      <c r="E762" t="s">
        <v>570</v>
      </c>
      <c r="F762" t="s">
        <v>603</v>
      </c>
    </row>
    <row r="763" spans="1:6">
      <c r="A763" t="s">
        <v>34</v>
      </c>
      <c r="B763" t="s">
        <v>117</v>
      </c>
      <c r="C763">
        <v>37</v>
      </c>
      <c r="D763">
        <v>4</v>
      </c>
      <c r="E763" t="s">
        <v>570</v>
      </c>
      <c r="F763" t="s">
        <v>609</v>
      </c>
    </row>
    <row r="764" spans="1:6">
      <c r="A764" t="s">
        <v>158</v>
      </c>
      <c r="B764" t="s">
        <v>177</v>
      </c>
      <c r="C764">
        <v>9</v>
      </c>
      <c r="D764">
        <v>4</v>
      </c>
      <c r="E764" t="s">
        <v>570</v>
      </c>
      <c r="F764" t="s">
        <v>606</v>
      </c>
    </row>
    <row r="765" spans="1:6">
      <c r="A765" t="s">
        <v>158</v>
      </c>
      <c r="B765" t="s">
        <v>117</v>
      </c>
      <c r="C765">
        <v>14</v>
      </c>
      <c r="D765">
        <v>4</v>
      </c>
      <c r="E765" t="s">
        <v>570</v>
      </c>
      <c r="F765" t="s">
        <v>609</v>
      </c>
    </row>
    <row r="766" spans="1:6">
      <c r="A766" t="s">
        <v>158</v>
      </c>
      <c r="B766" t="s">
        <v>177</v>
      </c>
      <c r="C766">
        <v>24</v>
      </c>
      <c r="D766">
        <v>4</v>
      </c>
      <c r="E766" t="s">
        <v>569</v>
      </c>
      <c r="F766" t="s">
        <v>605</v>
      </c>
    </row>
    <row r="767" spans="1:6">
      <c r="A767" t="s">
        <v>158</v>
      </c>
      <c r="B767" t="s">
        <v>104</v>
      </c>
      <c r="C767">
        <v>29</v>
      </c>
      <c r="D767">
        <v>4</v>
      </c>
      <c r="E767" t="s">
        <v>570</v>
      </c>
      <c r="F767" t="s">
        <v>604</v>
      </c>
    </row>
    <row r="768" spans="1:6">
      <c r="A768" t="s">
        <v>158</v>
      </c>
      <c r="B768" t="s">
        <v>34</v>
      </c>
      <c r="C768">
        <v>32</v>
      </c>
      <c r="D768">
        <v>4</v>
      </c>
      <c r="E768" t="s">
        <v>569</v>
      </c>
      <c r="F768" t="s">
        <v>607</v>
      </c>
    </row>
    <row r="769" spans="1:6">
      <c r="A769" t="s">
        <v>158</v>
      </c>
      <c r="B769" t="s">
        <v>54</v>
      </c>
      <c r="C769">
        <v>33</v>
      </c>
      <c r="D769">
        <v>4</v>
      </c>
      <c r="E769" t="s">
        <v>570</v>
      </c>
      <c r="F769" t="s">
        <v>606</v>
      </c>
    </row>
    <row r="770" spans="1:6">
      <c r="A770" t="s">
        <v>158</v>
      </c>
      <c r="B770" t="s">
        <v>117</v>
      </c>
      <c r="C770">
        <v>34</v>
      </c>
      <c r="D770">
        <v>4</v>
      </c>
      <c r="E770" t="s">
        <v>569</v>
      </c>
      <c r="F770" t="s">
        <v>608</v>
      </c>
    </row>
    <row r="771" spans="1:6">
      <c r="A771" t="s">
        <v>75</v>
      </c>
      <c r="B771" t="s">
        <v>177</v>
      </c>
      <c r="C771">
        <v>14</v>
      </c>
      <c r="D771">
        <v>4</v>
      </c>
      <c r="E771" t="s">
        <v>569</v>
      </c>
      <c r="F771" t="s">
        <v>605</v>
      </c>
    </row>
    <row r="772" spans="1:6">
      <c r="A772" t="s">
        <v>75</v>
      </c>
      <c r="B772" t="s">
        <v>158</v>
      </c>
      <c r="C772">
        <v>17</v>
      </c>
      <c r="D772">
        <v>4</v>
      </c>
      <c r="E772" t="s">
        <v>570</v>
      </c>
      <c r="F772" t="s">
        <v>603</v>
      </c>
    </row>
    <row r="773" spans="1:6">
      <c r="A773" t="s">
        <v>75</v>
      </c>
      <c r="B773" t="s">
        <v>117</v>
      </c>
      <c r="C773">
        <v>19</v>
      </c>
      <c r="D773">
        <v>4</v>
      </c>
      <c r="E773" t="s">
        <v>569</v>
      </c>
      <c r="F773" t="s">
        <v>608</v>
      </c>
    </row>
    <row r="774" spans="1:6">
      <c r="A774" t="s">
        <v>75</v>
      </c>
      <c r="B774" t="s">
        <v>117</v>
      </c>
      <c r="C774">
        <v>25</v>
      </c>
      <c r="D774">
        <v>4</v>
      </c>
      <c r="E774" t="s">
        <v>570</v>
      </c>
      <c r="F774" t="s">
        <v>609</v>
      </c>
    </row>
    <row r="775" spans="1:6">
      <c r="A775" t="s">
        <v>75</v>
      </c>
      <c r="B775" t="s">
        <v>158</v>
      </c>
      <c r="C775">
        <v>28</v>
      </c>
      <c r="D775">
        <v>4</v>
      </c>
      <c r="E775" t="s">
        <v>569</v>
      </c>
      <c r="F775" t="s">
        <v>602</v>
      </c>
    </row>
    <row r="776" spans="1:6">
      <c r="A776" t="s">
        <v>75</v>
      </c>
      <c r="B776" t="s">
        <v>54</v>
      </c>
      <c r="C776">
        <v>29</v>
      </c>
      <c r="D776">
        <v>4</v>
      </c>
      <c r="E776" t="s">
        <v>570</v>
      </c>
      <c r="F776" t="s">
        <v>606</v>
      </c>
    </row>
    <row r="777" spans="1:6">
      <c r="A777" t="s">
        <v>75</v>
      </c>
      <c r="B777" t="s">
        <v>34</v>
      </c>
      <c r="C777">
        <v>30</v>
      </c>
      <c r="D777">
        <v>4</v>
      </c>
      <c r="E777" t="s">
        <v>569</v>
      </c>
      <c r="F777" t="s">
        <v>607</v>
      </c>
    </row>
    <row r="778" spans="1:6">
      <c r="A778" t="s">
        <v>75</v>
      </c>
      <c r="B778" t="s">
        <v>104</v>
      </c>
      <c r="C778">
        <v>31</v>
      </c>
      <c r="D778">
        <v>4</v>
      </c>
      <c r="E778" t="s">
        <v>570</v>
      </c>
      <c r="F778" t="s">
        <v>604</v>
      </c>
    </row>
    <row r="779" spans="1:6">
      <c r="A779" t="s">
        <v>75</v>
      </c>
      <c r="B779" t="s">
        <v>177</v>
      </c>
      <c r="C779">
        <v>34</v>
      </c>
      <c r="D779">
        <v>4</v>
      </c>
      <c r="E779" t="s">
        <v>570</v>
      </c>
      <c r="F779" t="s">
        <v>606</v>
      </c>
    </row>
    <row r="780" spans="1:6">
      <c r="A780" t="s">
        <v>91</v>
      </c>
      <c r="B780" t="s">
        <v>34</v>
      </c>
      <c r="C780">
        <v>7</v>
      </c>
      <c r="D780">
        <v>4</v>
      </c>
      <c r="E780" t="s">
        <v>569</v>
      </c>
      <c r="F780" t="s">
        <v>607</v>
      </c>
    </row>
    <row r="781" spans="1:6">
      <c r="A781" t="s">
        <v>91</v>
      </c>
      <c r="B781" t="s">
        <v>117</v>
      </c>
      <c r="C781">
        <v>10</v>
      </c>
      <c r="D781">
        <v>4</v>
      </c>
      <c r="E781" t="s">
        <v>570</v>
      </c>
      <c r="F781" t="s">
        <v>609</v>
      </c>
    </row>
    <row r="782" spans="1:6">
      <c r="A782" t="s">
        <v>91</v>
      </c>
      <c r="B782" t="s">
        <v>158</v>
      </c>
      <c r="C782">
        <v>13</v>
      </c>
      <c r="D782">
        <v>4</v>
      </c>
      <c r="E782" t="s">
        <v>569</v>
      </c>
      <c r="F782" t="s">
        <v>602</v>
      </c>
    </row>
    <row r="783" spans="1:6">
      <c r="A783" t="s">
        <v>91</v>
      </c>
      <c r="B783" t="s">
        <v>177</v>
      </c>
      <c r="C783">
        <v>15</v>
      </c>
      <c r="D783">
        <v>4</v>
      </c>
      <c r="E783" t="s">
        <v>570</v>
      </c>
      <c r="F783" t="s">
        <v>606</v>
      </c>
    </row>
    <row r="784" spans="1:6">
      <c r="A784" t="s">
        <v>91</v>
      </c>
      <c r="B784" t="s">
        <v>104</v>
      </c>
      <c r="C784">
        <v>17</v>
      </c>
      <c r="D784">
        <v>4</v>
      </c>
      <c r="E784" t="s">
        <v>570</v>
      </c>
      <c r="F784" t="s">
        <v>604</v>
      </c>
    </row>
    <row r="785" spans="1:6">
      <c r="A785" t="s">
        <v>91</v>
      </c>
      <c r="B785" t="s">
        <v>158</v>
      </c>
      <c r="C785">
        <v>20</v>
      </c>
      <c r="D785">
        <v>4</v>
      </c>
      <c r="E785" t="s">
        <v>570</v>
      </c>
      <c r="F785" t="s">
        <v>603</v>
      </c>
    </row>
    <row r="786" spans="1:6">
      <c r="A786" t="s">
        <v>91</v>
      </c>
      <c r="B786" t="s">
        <v>117</v>
      </c>
      <c r="C786">
        <v>21</v>
      </c>
      <c r="D786">
        <v>4</v>
      </c>
      <c r="E786" t="s">
        <v>569</v>
      </c>
      <c r="F786" t="s">
        <v>608</v>
      </c>
    </row>
    <row r="787" spans="1:6">
      <c r="A787" t="s">
        <v>91</v>
      </c>
      <c r="B787" t="s">
        <v>177</v>
      </c>
      <c r="C787">
        <v>33</v>
      </c>
      <c r="D787">
        <v>4</v>
      </c>
      <c r="E787" t="s">
        <v>569</v>
      </c>
      <c r="F787" t="s">
        <v>605</v>
      </c>
    </row>
    <row r="788" spans="1:6">
      <c r="A788" t="s">
        <v>50</v>
      </c>
      <c r="B788" t="s">
        <v>158</v>
      </c>
      <c r="C788">
        <v>7</v>
      </c>
      <c r="D788">
        <v>4</v>
      </c>
      <c r="E788" t="s">
        <v>570</v>
      </c>
      <c r="F788" t="s">
        <v>603</v>
      </c>
    </row>
    <row r="789" spans="1:6">
      <c r="A789" t="s">
        <v>50</v>
      </c>
      <c r="B789" t="s">
        <v>117</v>
      </c>
      <c r="C789">
        <v>12</v>
      </c>
      <c r="D789">
        <v>4</v>
      </c>
      <c r="E789" t="s">
        <v>570</v>
      </c>
      <c r="F789" t="s">
        <v>609</v>
      </c>
    </row>
    <row r="790" spans="1:6">
      <c r="A790" t="s">
        <v>50</v>
      </c>
      <c r="B790" t="s">
        <v>34</v>
      </c>
      <c r="C790">
        <v>15</v>
      </c>
      <c r="D790">
        <v>4</v>
      </c>
      <c r="E790" t="s">
        <v>569</v>
      </c>
      <c r="F790" t="s">
        <v>607</v>
      </c>
    </row>
    <row r="791" spans="1:6">
      <c r="A791" t="s">
        <v>50</v>
      </c>
      <c r="B791" t="s">
        <v>54</v>
      </c>
      <c r="C791">
        <v>18</v>
      </c>
      <c r="D791">
        <v>4</v>
      </c>
      <c r="E791" t="s">
        <v>570</v>
      </c>
      <c r="F791" t="s">
        <v>606</v>
      </c>
    </row>
    <row r="792" spans="1:6">
      <c r="A792" t="s">
        <v>50</v>
      </c>
      <c r="B792" t="s">
        <v>117</v>
      </c>
      <c r="C792">
        <v>23</v>
      </c>
      <c r="D792">
        <v>4</v>
      </c>
      <c r="E792" t="s">
        <v>569</v>
      </c>
      <c r="F792" t="s">
        <v>608</v>
      </c>
    </row>
    <row r="793" spans="1:6">
      <c r="A793" t="s">
        <v>50</v>
      </c>
      <c r="B793" t="s">
        <v>177</v>
      </c>
      <c r="C793">
        <v>29</v>
      </c>
      <c r="D793">
        <v>4</v>
      </c>
      <c r="E793" t="s">
        <v>569</v>
      </c>
      <c r="F793" t="s">
        <v>605</v>
      </c>
    </row>
    <row r="794" spans="1:6">
      <c r="A794" t="s">
        <v>50</v>
      </c>
      <c r="B794" t="s">
        <v>158</v>
      </c>
      <c r="C794">
        <v>36</v>
      </c>
      <c r="D794">
        <v>4</v>
      </c>
      <c r="E794" t="s">
        <v>569</v>
      </c>
      <c r="F794" t="s">
        <v>602</v>
      </c>
    </row>
    <row r="795" spans="1:6">
      <c r="A795" t="s">
        <v>50</v>
      </c>
      <c r="B795" t="s">
        <v>104</v>
      </c>
      <c r="C795">
        <v>37</v>
      </c>
      <c r="D795">
        <v>4</v>
      </c>
      <c r="E795" t="s">
        <v>570</v>
      </c>
      <c r="F795" t="s">
        <v>604</v>
      </c>
    </row>
    <row r="796" spans="1:6">
      <c r="A796" t="s">
        <v>149</v>
      </c>
      <c r="B796" t="s">
        <v>104</v>
      </c>
      <c r="C796">
        <v>18</v>
      </c>
      <c r="D796">
        <v>4</v>
      </c>
      <c r="E796" t="s">
        <v>570</v>
      </c>
      <c r="F796" t="s">
        <v>604</v>
      </c>
    </row>
    <row r="797" spans="1:6">
      <c r="A797" t="s">
        <v>149</v>
      </c>
      <c r="B797" t="s">
        <v>54</v>
      </c>
      <c r="C797">
        <v>24</v>
      </c>
      <c r="D797">
        <v>4</v>
      </c>
      <c r="E797" t="s">
        <v>570</v>
      </c>
      <c r="F797" t="s">
        <v>606</v>
      </c>
    </row>
    <row r="798" spans="1:6">
      <c r="A798" t="s">
        <v>149</v>
      </c>
      <c r="B798" t="s">
        <v>34</v>
      </c>
      <c r="C798">
        <v>28</v>
      </c>
      <c r="D798">
        <v>4</v>
      </c>
      <c r="E798" t="s">
        <v>569</v>
      </c>
      <c r="F798" t="s">
        <v>607</v>
      </c>
    </row>
    <row r="799" spans="1:6">
      <c r="A799" t="s">
        <v>149</v>
      </c>
      <c r="B799" t="s">
        <v>117</v>
      </c>
      <c r="C799">
        <v>30</v>
      </c>
      <c r="D799">
        <v>4</v>
      </c>
      <c r="E799" t="s">
        <v>570</v>
      </c>
      <c r="F799" t="s">
        <v>609</v>
      </c>
    </row>
    <row r="800" spans="1:6">
      <c r="A800" t="s">
        <v>149</v>
      </c>
      <c r="B800" t="s">
        <v>158</v>
      </c>
      <c r="C800">
        <v>31</v>
      </c>
      <c r="D800">
        <v>4</v>
      </c>
      <c r="E800" t="s">
        <v>569</v>
      </c>
      <c r="F800" t="s">
        <v>602</v>
      </c>
    </row>
    <row r="801" spans="1:6">
      <c r="A801" t="s">
        <v>149</v>
      </c>
      <c r="B801" t="s">
        <v>177</v>
      </c>
      <c r="C801">
        <v>38</v>
      </c>
      <c r="D801">
        <v>4</v>
      </c>
      <c r="E801" t="s">
        <v>569</v>
      </c>
      <c r="F801" t="s">
        <v>605</v>
      </c>
    </row>
    <row r="802" spans="1:6">
      <c r="A802" t="s">
        <v>45</v>
      </c>
      <c r="B802" t="s">
        <v>117</v>
      </c>
      <c r="C802">
        <v>17</v>
      </c>
      <c r="D802">
        <v>4</v>
      </c>
      <c r="E802" t="s">
        <v>570</v>
      </c>
      <c r="F802" t="s">
        <v>609</v>
      </c>
    </row>
    <row r="803" spans="1:6">
      <c r="A803" t="s">
        <v>45</v>
      </c>
      <c r="B803" t="s">
        <v>104</v>
      </c>
      <c r="C803">
        <v>21</v>
      </c>
      <c r="D803">
        <v>4</v>
      </c>
      <c r="E803" t="s">
        <v>570</v>
      </c>
      <c r="F803" t="s">
        <v>604</v>
      </c>
    </row>
    <row r="804" spans="1:6">
      <c r="A804" t="s">
        <v>45</v>
      </c>
      <c r="B804" t="s">
        <v>34</v>
      </c>
      <c r="C804">
        <v>24</v>
      </c>
      <c r="D804">
        <v>4</v>
      </c>
      <c r="E804" t="s">
        <v>569</v>
      </c>
      <c r="F804" t="s">
        <v>607</v>
      </c>
    </row>
    <row r="805" spans="1:6">
      <c r="A805" t="s">
        <v>45</v>
      </c>
      <c r="B805" t="s">
        <v>117</v>
      </c>
      <c r="C805">
        <v>26</v>
      </c>
      <c r="D805">
        <v>4</v>
      </c>
      <c r="E805" t="s">
        <v>569</v>
      </c>
      <c r="F805" t="s">
        <v>608</v>
      </c>
    </row>
    <row r="806" spans="1:6">
      <c r="A806" t="s">
        <v>45</v>
      </c>
      <c r="B806" t="s">
        <v>54</v>
      </c>
      <c r="C806">
        <v>27</v>
      </c>
      <c r="D806">
        <v>4</v>
      </c>
      <c r="E806" t="s">
        <v>570</v>
      </c>
      <c r="F806" t="s">
        <v>606</v>
      </c>
    </row>
    <row r="807" spans="1:6">
      <c r="A807" t="s">
        <v>45</v>
      </c>
      <c r="B807" t="s">
        <v>158</v>
      </c>
      <c r="C807">
        <v>30</v>
      </c>
      <c r="D807">
        <v>4</v>
      </c>
      <c r="E807" t="s">
        <v>570</v>
      </c>
      <c r="F807" t="s">
        <v>603</v>
      </c>
    </row>
    <row r="808" spans="1:6">
      <c r="A808" t="s">
        <v>45</v>
      </c>
      <c r="B808" t="s">
        <v>177</v>
      </c>
      <c r="C808">
        <v>31</v>
      </c>
      <c r="D808">
        <v>4</v>
      </c>
      <c r="E808" t="s">
        <v>569</v>
      </c>
      <c r="F808" t="s">
        <v>605</v>
      </c>
    </row>
    <row r="809" spans="1:6">
      <c r="A809" t="s">
        <v>66</v>
      </c>
      <c r="B809" t="s">
        <v>34</v>
      </c>
      <c r="C809">
        <v>16</v>
      </c>
      <c r="D809">
        <v>4</v>
      </c>
      <c r="E809" t="s">
        <v>569</v>
      </c>
      <c r="F809" t="s">
        <v>607</v>
      </c>
    </row>
    <row r="810" spans="1:6">
      <c r="A810" t="s">
        <v>66</v>
      </c>
      <c r="B810" t="s">
        <v>158</v>
      </c>
      <c r="C810">
        <v>18</v>
      </c>
      <c r="D810">
        <v>4</v>
      </c>
      <c r="E810" t="s">
        <v>570</v>
      </c>
      <c r="F810" t="s">
        <v>603</v>
      </c>
    </row>
    <row r="811" spans="1:6">
      <c r="A811" t="s">
        <v>66</v>
      </c>
      <c r="B811" t="s">
        <v>104</v>
      </c>
      <c r="C811">
        <v>25</v>
      </c>
      <c r="D811">
        <v>4</v>
      </c>
      <c r="E811" t="s">
        <v>570</v>
      </c>
      <c r="F811" t="s">
        <v>604</v>
      </c>
    </row>
    <row r="812" spans="1:6">
      <c r="A812" t="s">
        <v>66</v>
      </c>
      <c r="B812" t="s">
        <v>158</v>
      </c>
      <c r="C812">
        <v>26</v>
      </c>
      <c r="D812">
        <v>4</v>
      </c>
      <c r="E812" t="s">
        <v>569</v>
      </c>
      <c r="F812" t="s">
        <v>602</v>
      </c>
    </row>
    <row r="813" spans="1:6">
      <c r="A813" t="s">
        <v>66</v>
      </c>
      <c r="B813" t="s">
        <v>117</v>
      </c>
      <c r="C813">
        <v>29</v>
      </c>
      <c r="D813">
        <v>4</v>
      </c>
      <c r="E813" t="s">
        <v>569</v>
      </c>
      <c r="F813" t="s">
        <v>608</v>
      </c>
    </row>
    <row r="814" spans="1:6">
      <c r="A814" t="s">
        <v>66</v>
      </c>
      <c r="B814" t="s">
        <v>177</v>
      </c>
      <c r="C814">
        <v>32</v>
      </c>
      <c r="D814">
        <v>4</v>
      </c>
      <c r="E814" t="s">
        <v>570</v>
      </c>
      <c r="F814" t="s">
        <v>606</v>
      </c>
    </row>
    <row r="815" spans="1:6">
      <c r="A815" t="s">
        <v>66</v>
      </c>
      <c r="B815" t="s">
        <v>54</v>
      </c>
      <c r="C815">
        <v>36</v>
      </c>
      <c r="D815">
        <v>4</v>
      </c>
      <c r="E815" t="s">
        <v>570</v>
      </c>
      <c r="F815" t="s">
        <v>606</v>
      </c>
    </row>
    <row r="816" spans="1:6">
      <c r="A816" t="s">
        <v>22</v>
      </c>
      <c r="B816" t="s">
        <v>177</v>
      </c>
      <c r="C816">
        <v>7</v>
      </c>
      <c r="D816">
        <v>4</v>
      </c>
      <c r="E816" t="s">
        <v>570</v>
      </c>
      <c r="F816" t="s">
        <v>606</v>
      </c>
    </row>
    <row r="817" spans="1:6">
      <c r="A817" t="s">
        <v>22</v>
      </c>
      <c r="B817" t="s">
        <v>158</v>
      </c>
      <c r="C817">
        <v>11</v>
      </c>
      <c r="D817">
        <v>4</v>
      </c>
      <c r="E817" t="s">
        <v>569</v>
      </c>
      <c r="F817" t="s">
        <v>602</v>
      </c>
    </row>
    <row r="818" spans="1:6">
      <c r="A818" t="s">
        <v>22</v>
      </c>
      <c r="B818" t="s">
        <v>117</v>
      </c>
      <c r="C818">
        <v>15</v>
      </c>
      <c r="D818">
        <v>4</v>
      </c>
      <c r="E818" t="s">
        <v>569</v>
      </c>
      <c r="F818" t="s">
        <v>608</v>
      </c>
    </row>
    <row r="819" spans="1:6">
      <c r="A819" t="s">
        <v>22</v>
      </c>
      <c r="B819" t="s">
        <v>54</v>
      </c>
      <c r="C819">
        <v>20</v>
      </c>
      <c r="D819">
        <v>4</v>
      </c>
      <c r="E819" t="s">
        <v>570</v>
      </c>
      <c r="F819" t="s">
        <v>606</v>
      </c>
    </row>
    <row r="820" spans="1:6">
      <c r="A820" t="s">
        <v>22</v>
      </c>
      <c r="B820" t="s">
        <v>158</v>
      </c>
      <c r="C820">
        <v>22</v>
      </c>
      <c r="D820">
        <v>4</v>
      </c>
      <c r="E820" t="s">
        <v>570</v>
      </c>
      <c r="F820" t="s">
        <v>603</v>
      </c>
    </row>
    <row r="821" spans="1:6">
      <c r="A821" t="s">
        <v>22</v>
      </c>
      <c r="B821" t="s">
        <v>117</v>
      </c>
      <c r="C821">
        <v>33</v>
      </c>
      <c r="D821">
        <v>4</v>
      </c>
      <c r="E821" t="s">
        <v>570</v>
      </c>
      <c r="F821" t="s">
        <v>609</v>
      </c>
    </row>
    <row r="822" spans="1:6">
      <c r="A822" t="s">
        <v>22</v>
      </c>
      <c r="B822" t="s">
        <v>104</v>
      </c>
      <c r="C822">
        <v>35</v>
      </c>
      <c r="D822">
        <v>4</v>
      </c>
      <c r="E822" t="s">
        <v>570</v>
      </c>
      <c r="F822" t="s">
        <v>604</v>
      </c>
    </row>
    <row r="823" spans="1:6">
      <c r="A823" t="s">
        <v>22</v>
      </c>
      <c r="B823" t="s">
        <v>177</v>
      </c>
      <c r="C823">
        <v>36</v>
      </c>
      <c r="D823">
        <v>4</v>
      </c>
      <c r="E823" t="s">
        <v>569</v>
      </c>
      <c r="F823" t="s">
        <v>605</v>
      </c>
    </row>
    <row r="824" spans="1:6">
      <c r="A824" t="s">
        <v>117</v>
      </c>
      <c r="B824" t="s">
        <v>54</v>
      </c>
      <c r="C824">
        <v>6</v>
      </c>
      <c r="D824">
        <v>4</v>
      </c>
      <c r="E824" t="s">
        <v>570</v>
      </c>
      <c r="F824" t="s">
        <v>606</v>
      </c>
    </row>
    <row r="825" spans="1:6">
      <c r="A825" t="s">
        <v>117</v>
      </c>
      <c r="B825" t="s">
        <v>104</v>
      </c>
      <c r="C825">
        <v>9</v>
      </c>
      <c r="D825">
        <v>4</v>
      </c>
      <c r="E825" t="s">
        <v>570</v>
      </c>
      <c r="F825" t="s">
        <v>604</v>
      </c>
    </row>
    <row r="826" spans="1:6">
      <c r="A826" t="s">
        <v>117</v>
      </c>
      <c r="B826" t="s">
        <v>177</v>
      </c>
      <c r="C826">
        <v>11</v>
      </c>
      <c r="D826">
        <v>4</v>
      </c>
      <c r="E826" t="s">
        <v>570</v>
      </c>
      <c r="F826" t="s">
        <v>606</v>
      </c>
    </row>
    <row r="827" spans="1:6">
      <c r="A827" t="s">
        <v>117</v>
      </c>
      <c r="B827" t="s">
        <v>158</v>
      </c>
      <c r="C827">
        <v>14</v>
      </c>
      <c r="D827">
        <v>4</v>
      </c>
      <c r="E827" t="s">
        <v>569</v>
      </c>
      <c r="F827" t="s">
        <v>602</v>
      </c>
    </row>
    <row r="828" spans="1:6">
      <c r="A828" t="s">
        <v>117</v>
      </c>
      <c r="B828" t="s">
        <v>177</v>
      </c>
      <c r="C828">
        <v>22</v>
      </c>
      <c r="D828">
        <v>4</v>
      </c>
      <c r="E828" t="s">
        <v>569</v>
      </c>
      <c r="F828" t="s">
        <v>605</v>
      </c>
    </row>
    <row r="829" spans="1:6">
      <c r="A829" t="s">
        <v>117</v>
      </c>
      <c r="B829" t="s">
        <v>158</v>
      </c>
      <c r="C829">
        <v>34</v>
      </c>
      <c r="D829">
        <v>4</v>
      </c>
      <c r="E829" t="s">
        <v>570</v>
      </c>
      <c r="F829" t="s">
        <v>603</v>
      </c>
    </row>
    <row r="830" spans="1:6">
      <c r="A830" t="s">
        <v>117</v>
      </c>
      <c r="B830" t="s">
        <v>34</v>
      </c>
      <c r="C830">
        <v>37</v>
      </c>
      <c r="D830">
        <v>4</v>
      </c>
      <c r="E830" t="s">
        <v>569</v>
      </c>
      <c r="F830" t="s">
        <v>607</v>
      </c>
    </row>
    <row r="831" spans="1:6">
      <c r="A831" t="s">
        <v>54</v>
      </c>
      <c r="B831" t="s">
        <v>117</v>
      </c>
      <c r="C831">
        <v>6</v>
      </c>
      <c r="D831">
        <v>4</v>
      </c>
      <c r="E831" t="s">
        <v>569</v>
      </c>
      <c r="F831" t="s">
        <v>608</v>
      </c>
    </row>
    <row r="832" spans="1:6">
      <c r="A832" t="s">
        <v>54</v>
      </c>
      <c r="B832" t="s">
        <v>158</v>
      </c>
      <c r="C832">
        <v>15</v>
      </c>
      <c r="D832">
        <v>4</v>
      </c>
      <c r="E832" t="s">
        <v>570</v>
      </c>
      <c r="F832" t="s">
        <v>603</v>
      </c>
    </row>
    <row r="833" spans="1:6">
      <c r="A833" t="s">
        <v>54</v>
      </c>
      <c r="B833" t="s">
        <v>34</v>
      </c>
      <c r="C833">
        <v>22</v>
      </c>
      <c r="D833">
        <v>4</v>
      </c>
      <c r="E833" t="s">
        <v>569</v>
      </c>
      <c r="F833" t="s">
        <v>607</v>
      </c>
    </row>
    <row r="834" spans="1:6">
      <c r="A834" t="s">
        <v>54</v>
      </c>
      <c r="B834" t="s">
        <v>104</v>
      </c>
      <c r="C834">
        <v>23</v>
      </c>
      <c r="D834">
        <v>4</v>
      </c>
      <c r="E834" t="s">
        <v>570</v>
      </c>
      <c r="F834" t="s">
        <v>604</v>
      </c>
    </row>
    <row r="835" spans="1:6">
      <c r="A835" t="s">
        <v>54</v>
      </c>
      <c r="B835" t="s">
        <v>177</v>
      </c>
      <c r="C835">
        <v>30</v>
      </c>
      <c r="D835">
        <v>4</v>
      </c>
      <c r="E835" t="s">
        <v>570</v>
      </c>
      <c r="F835" t="s">
        <v>606</v>
      </c>
    </row>
    <row r="836" spans="1:6">
      <c r="A836" t="s">
        <v>54</v>
      </c>
      <c r="B836" t="s">
        <v>158</v>
      </c>
      <c r="C836">
        <v>33</v>
      </c>
      <c r="D836">
        <v>4</v>
      </c>
      <c r="E836" t="s">
        <v>569</v>
      </c>
      <c r="F836" t="s">
        <v>602</v>
      </c>
    </row>
    <row r="837" spans="1:6">
      <c r="A837" t="s">
        <v>54</v>
      </c>
      <c r="B837" t="s">
        <v>117</v>
      </c>
      <c r="C837">
        <v>35</v>
      </c>
      <c r="D837">
        <v>4</v>
      </c>
      <c r="E837" t="s">
        <v>570</v>
      </c>
      <c r="F837" t="s">
        <v>609</v>
      </c>
    </row>
    <row r="838" spans="1:6">
      <c r="A838" t="s">
        <v>177</v>
      </c>
      <c r="B838" t="s">
        <v>158</v>
      </c>
      <c r="C838">
        <v>9</v>
      </c>
      <c r="D838">
        <v>4</v>
      </c>
      <c r="E838" t="s">
        <v>569</v>
      </c>
      <c r="F838" t="s">
        <v>602</v>
      </c>
    </row>
    <row r="839" spans="1:6">
      <c r="A839" t="s">
        <v>177</v>
      </c>
      <c r="B839" t="s">
        <v>117</v>
      </c>
      <c r="C839">
        <v>11</v>
      </c>
      <c r="D839">
        <v>4</v>
      </c>
      <c r="E839" t="s">
        <v>569</v>
      </c>
      <c r="F839" t="s">
        <v>608</v>
      </c>
    </row>
    <row r="840" spans="1:6">
      <c r="A840" t="s">
        <v>177</v>
      </c>
      <c r="B840" t="s">
        <v>34</v>
      </c>
      <c r="C840">
        <v>19</v>
      </c>
      <c r="D840">
        <v>4</v>
      </c>
      <c r="E840" t="s">
        <v>569</v>
      </c>
      <c r="F840" t="s">
        <v>607</v>
      </c>
    </row>
    <row r="841" spans="1:6">
      <c r="A841" t="s">
        <v>177</v>
      </c>
      <c r="B841" t="s">
        <v>117</v>
      </c>
      <c r="C841">
        <v>22</v>
      </c>
      <c r="D841">
        <v>4</v>
      </c>
      <c r="E841" t="s">
        <v>570</v>
      </c>
      <c r="F841" t="s">
        <v>609</v>
      </c>
    </row>
    <row r="842" spans="1:6">
      <c r="A842" t="s">
        <v>177</v>
      </c>
      <c r="B842" t="s">
        <v>158</v>
      </c>
      <c r="C842">
        <v>24</v>
      </c>
      <c r="D842">
        <v>4</v>
      </c>
      <c r="E842" t="s">
        <v>570</v>
      </c>
      <c r="F842" t="s">
        <v>603</v>
      </c>
    </row>
    <row r="843" spans="1:6">
      <c r="A843" t="s">
        <v>177</v>
      </c>
      <c r="B843" t="s">
        <v>104</v>
      </c>
      <c r="C843">
        <v>27</v>
      </c>
      <c r="D843">
        <v>4</v>
      </c>
      <c r="E843" t="s">
        <v>570</v>
      </c>
      <c r="F843" t="s">
        <v>604</v>
      </c>
    </row>
    <row r="844" spans="1:6">
      <c r="A844" t="s">
        <v>80</v>
      </c>
      <c r="B844" t="s">
        <v>104</v>
      </c>
      <c r="C844">
        <v>11</v>
      </c>
      <c r="D844">
        <v>4</v>
      </c>
      <c r="E844" t="s">
        <v>570</v>
      </c>
      <c r="F844" t="s">
        <v>604</v>
      </c>
    </row>
    <row r="845" spans="1:6">
      <c r="A845" t="s">
        <v>80</v>
      </c>
      <c r="B845" t="s">
        <v>34</v>
      </c>
      <c r="C845">
        <v>12</v>
      </c>
      <c r="D845">
        <v>4</v>
      </c>
      <c r="E845" t="s">
        <v>569</v>
      </c>
      <c r="F845" t="s">
        <v>607</v>
      </c>
    </row>
    <row r="846" spans="1:6">
      <c r="A846" t="s">
        <v>80</v>
      </c>
      <c r="B846" t="s">
        <v>177</v>
      </c>
      <c r="C846">
        <v>13</v>
      </c>
      <c r="D846">
        <v>4</v>
      </c>
      <c r="E846" t="s">
        <v>570</v>
      </c>
      <c r="F846" t="s">
        <v>606</v>
      </c>
    </row>
    <row r="847" spans="1:6">
      <c r="A847" t="s">
        <v>80</v>
      </c>
      <c r="B847" t="s">
        <v>54</v>
      </c>
      <c r="C847">
        <v>17</v>
      </c>
      <c r="D847">
        <v>4</v>
      </c>
      <c r="E847" t="s">
        <v>570</v>
      </c>
      <c r="F847" t="s">
        <v>606</v>
      </c>
    </row>
    <row r="848" spans="1:6">
      <c r="A848" t="s">
        <v>80</v>
      </c>
      <c r="B848" t="s">
        <v>158</v>
      </c>
      <c r="C848">
        <v>19</v>
      </c>
      <c r="D848">
        <v>4</v>
      </c>
      <c r="E848" t="s">
        <v>569</v>
      </c>
      <c r="F848" t="s">
        <v>602</v>
      </c>
    </row>
    <row r="849" spans="1:6">
      <c r="A849" t="s">
        <v>80</v>
      </c>
      <c r="B849" t="s">
        <v>177</v>
      </c>
      <c r="C849">
        <v>20</v>
      </c>
      <c r="D849">
        <v>4</v>
      </c>
      <c r="E849" t="s">
        <v>569</v>
      </c>
      <c r="F849" t="s">
        <v>605</v>
      </c>
    </row>
    <row r="850" spans="1:6">
      <c r="A850" t="s">
        <v>80</v>
      </c>
      <c r="B850" t="s">
        <v>158</v>
      </c>
      <c r="C850">
        <v>25</v>
      </c>
      <c r="D850">
        <v>4</v>
      </c>
      <c r="E850" t="s">
        <v>570</v>
      </c>
      <c r="F850" t="s">
        <v>603</v>
      </c>
    </row>
    <row r="851" spans="1:6">
      <c r="A851" t="s">
        <v>80</v>
      </c>
      <c r="B851" t="s">
        <v>117</v>
      </c>
      <c r="C851">
        <v>31</v>
      </c>
      <c r="D851">
        <v>4</v>
      </c>
      <c r="E851" t="s">
        <v>569</v>
      </c>
      <c r="F851" t="s">
        <v>608</v>
      </c>
    </row>
    <row r="852" spans="1:6">
      <c r="A852" t="s">
        <v>170</v>
      </c>
      <c r="B852" t="s">
        <v>104</v>
      </c>
      <c r="C852">
        <v>7</v>
      </c>
      <c r="D852">
        <v>4</v>
      </c>
      <c r="E852" t="s">
        <v>570</v>
      </c>
      <c r="F852" t="s">
        <v>604</v>
      </c>
    </row>
    <row r="853" spans="1:6">
      <c r="A853" t="s">
        <v>170</v>
      </c>
      <c r="B853" t="s">
        <v>54</v>
      </c>
      <c r="C853">
        <v>10</v>
      </c>
      <c r="D853">
        <v>4</v>
      </c>
      <c r="E853" t="s">
        <v>570</v>
      </c>
      <c r="F853" t="s">
        <v>606</v>
      </c>
    </row>
    <row r="854" spans="1:6">
      <c r="A854" t="s">
        <v>170</v>
      </c>
      <c r="B854" t="s">
        <v>158</v>
      </c>
      <c r="C854">
        <v>12</v>
      </c>
      <c r="D854">
        <v>4</v>
      </c>
      <c r="E854" t="s">
        <v>570</v>
      </c>
      <c r="F854" t="s">
        <v>603</v>
      </c>
    </row>
    <row r="855" spans="1:6">
      <c r="A855" t="s">
        <v>170</v>
      </c>
      <c r="B855" t="s">
        <v>177</v>
      </c>
      <c r="C855">
        <v>17</v>
      </c>
      <c r="D855">
        <v>4</v>
      </c>
      <c r="E855" t="s">
        <v>569</v>
      </c>
      <c r="F855" t="s">
        <v>605</v>
      </c>
    </row>
    <row r="856" spans="1:6">
      <c r="A856" t="s">
        <v>170</v>
      </c>
      <c r="B856" t="s">
        <v>158</v>
      </c>
      <c r="C856">
        <v>23</v>
      </c>
      <c r="D856">
        <v>4</v>
      </c>
      <c r="E856" t="s">
        <v>569</v>
      </c>
      <c r="F856" t="s">
        <v>602</v>
      </c>
    </row>
    <row r="857" spans="1:6">
      <c r="A857" t="s">
        <v>170</v>
      </c>
      <c r="B857" t="s">
        <v>177</v>
      </c>
      <c r="C857">
        <v>26</v>
      </c>
      <c r="D857">
        <v>4</v>
      </c>
      <c r="E857" t="s">
        <v>570</v>
      </c>
      <c r="F857" t="s">
        <v>606</v>
      </c>
    </row>
    <row r="858" spans="1:6">
      <c r="A858" t="s">
        <v>170</v>
      </c>
      <c r="B858" t="s">
        <v>117</v>
      </c>
      <c r="C858">
        <v>32</v>
      </c>
      <c r="D858">
        <v>4</v>
      </c>
      <c r="E858" t="s">
        <v>570</v>
      </c>
      <c r="F858" t="s">
        <v>609</v>
      </c>
    </row>
    <row r="859" spans="1:6">
      <c r="A859" t="s">
        <v>170</v>
      </c>
      <c r="B859" t="s">
        <v>34</v>
      </c>
      <c r="C859">
        <v>34</v>
      </c>
      <c r="D859">
        <v>4</v>
      </c>
      <c r="E859" t="s">
        <v>569</v>
      </c>
      <c r="F859" t="s">
        <v>607</v>
      </c>
    </row>
    <row r="860" spans="1:6">
      <c r="A860" t="s">
        <v>165</v>
      </c>
      <c r="B860" t="s">
        <v>158</v>
      </c>
      <c r="C860">
        <v>10</v>
      </c>
      <c r="D860">
        <v>4</v>
      </c>
      <c r="E860" t="s">
        <v>570</v>
      </c>
      <c r="F860" t="s">
        <v>603</v>
      </c>
    </row>
    <row r="861" spans="1:6">
      <c r="A861" t="s">
        <v>165</v>
      </c>
      <c r="B861" t="s">
        <v>117</v>
      </c>
      <c r="C861">
        <v>13</v>
      </c>
      <c r="D861">
        <v>4</v>
      </c>
      <c r="E861" t="s">
        <v>569</v>
      </c>
      <c r="F861" t="s">
        <v>608</v>
      </c>
    </row>
    <row r="862" spans="1:6">
      <c r="A862" t="s">
        <v>165</v>
      </c>
      <c r="B862" t="s">
        <v>177</v>
      </c>
      <c r="C862">
        <v>18</v>
      </c>
      <c r="D862">
        <v>4</v>
      </c>
      <c r="E862" t="s">
        <v>569</v>
      </c>
      <c r="F862" t="s">
        <v>605</v>
      </c>
    </row>
    <row r="863" spans="1:6">
      <c r="A863" t="s">
        <v>165</v>
      </c>
      <c r="B863" t="s">
        <v>117</v>
      </c>
      <c r="C863">
        <v>20</v>
      </c>
      <c r="D863">
        <v>4</v>
      </c>
      <c r="E863" t="s">
        <v>570</v>
      </c>
      <c r="F863" t="s">
        <v>609</v>
      </c>
    </row>
    <row r="864" spans="1:6">
      <c r="A864" t="s">
        <v>165</v>
      </c>
      <c r="B864" t="s">
        <v>158</v>
      </c>
      <c r="C864">
        <v>21</v>
      </c>
      <c r="D864">
        <v>4</v>
      </c>
      <c r="E864" t="s">
        <v>569</v>
      </c>
      <c r="F864" t="s">
        <v>602</v>
      </c>
    </row>
    <row r="865" spans="1:6">
      <c r="A865" t="s">
        <v>165</v>
      </c>
      <c r="B865" t="s">
        <v>177</v>
      </c>
      <c r="C865">
        <v>28</v>
      </c>
      <c r="D865">
        <v>4</v>
      </c>
      <c r="E865" t="s">
        <v>570</v>
      </c>
      <c r="F865" t="s">
        <v>606</v>
      </c>
    </row>
    <row r="866" spans="1:6">
      <c r="A866" t="s">
        <v>165</v>
      </c>
      <c r="B866" t="s">
        <v>34</v>
      </c>
      <c r="C866">
        <v>35</v>
      </c>
      <c r="D866">
        <v>4</v>
      </c>
      <c r="E866" t="s">
        <v>569</v>
      </c>
      <c r="F866" t="s">
        <v>607</v>
      </c>
    </row>
    <row r="867" spans="1:6">
      <c r="A867" t="s">
        <v>165</v>
      </c>
      <c r="B867" t="s">
        <v>54</v>
      </c>
      <c r="C867">
        <v>38</v>
      </c>
      <c r="D867">
        <v>4</v>
      </c>
      <c r="E867" t="s">
        <v>570</v>
      </c>
      <c r="F867" t="s">
        <v>606</v>
      </c>
    </row>
    <row r="868" spans="1:6">
      <c r="A868" t="s">
        <v>122</v>
      </c>
      <c r="B868" t="s">
        <v>177</v>
      </c>
      <c r="C868">
        <v>6</v>
      </c>
      <c r="D868">
        <v>4</v>
      </c>
      <c r="E868" t="s">
        <v>569</v>
      </c>
      <c r="F868" t="s">
        <v>605</v>
      </c>
    </row>
    <row r="869" spans="1:6">
      <c r="A869" t="s">
        <v>122</v>
      </c>
      <c r="B869" t="s">
        <v>158</v>
      </c>
      <c r="C869">
        <v>8</v>
      </c>
      <c r="D869">
        <v>4</v>
      </c>
      <c r="E869" t="s">
        <v>569</v>
      </c>
      <c r="F869" t="s">
        <v>602</v>
      </c>
    </row>
    <row r="870" spans="1:6">
      <c r="A870" t="s">
        <v>122</v>
      </c>
      <c r="B870" t="s">
        <v>104</v>
      </c>
      <c r="C870">
        <v>14</v>
      </c>
      <c r="D870">
        <v>4</v>
      </c>
      <c r="E870" t="s">
        <v>570</v>
      </c>
      <c r="F870" t="s">
        <v>604</v>
      </c>
    </row>
    <row r="871" spans="1:6">
      <c r="A871" t="s">
        <v>122</v>
      </c>
      <c r="B871" t="s">
        <v>117</v>
      </c>
      <c r="C871">
        <v>16</v>
      </c>
      <c r="D871">
        <v>4</v>
      </c>
      <c r="E871" t="s">
        <v>569</v>
      </c>
      <c r="F871" t="s">
        <v>608</v>
      </c>
    </row>
    <row r="872" spans="1:6">
      <c r="A872" t="s">
        <v>122</v>
      </c>
      <c r="B872" t="s">
        <v>54</v>
      </c>
      <c r="C872">
        <v>25</v>
      </c>
      <c r="D872">
        <v>4</v>
      </c>
      <c r="E872" t="s">
        <v>570</v>
      </c>
      <c r="F872" t="s">
        <v>606</v>
      </c>
    </row>
    <row r="873" spans="1:6">
      <c r="A873" t="s">
        <v>122</v>
      </c>
      <c r="B873" t="s">
        <v>34</v>
      </c>
      <c r="C873">
        <v>26</v>
      </c>
      <c r="D873">
        <v>4</v>
      </c>
      <c r="E873" t="s">
        <v>569</v>
      </c>
      <c r="F873" t="s">
        <v>607</v>
      </c>
    </row>
    <row r="874" spans="1:6">
      <c r="A874" t="s">
        <v>122</v>
      </c>
      <c r="B874" t="s">
        <v>117</v>
      </c>
      <c r="C874">
        <v>27</v>
      </c>
      <c r="D874">
        <v>4</v>
      </c>
      <c r="E874" t="s">
        <v>570</v>
      </c>
      <c r="F874" t="s">
        <v>609</v>
      </c>
    </row>
    <row r="875" spans="1:6">
      <c r="A875" t="s">
        <v>122</v>
      </c>
      <c r="B875" t="s">
        <v>158</v>
      </c>
      <c r="C875">
        <v>35</v>
      </c>
      <c r="D875">
        <v>4</v>
      </c>
      <c r="E875" t="s">
        <v>570</v>
      </c>
      <c r="F875" t="s">
        <v>603</v>
      </c>
    </row>
    <row r="876" spans="1:6">
      <c r="A876" t="s">
        <v>122</v>
      </c>
      <c r="B876" t="s">
        <v>177</v>
      </c>
      <c r="C876">
        <v>37</v>
      </c>
      <c r="D876">
        <v>4</v>
      </c>
      <c r="E876" t="s">
        <v>570</v>
      </c>
      <c r="F876" t="s">
        <v>606</v>
      </c>
    </row>
    <row r="877" spans="1:6">
      <c r="A877" t="s">
        <v>96</v>
      </c>
      <c r="B877" t="s">
        <v>104</v>
      </c>
      <c r="C877">
        <v>15</v>
      </c>
      <c r="D877">
        <v>5</v>
      </c>
      <c r="E877" t="s">
        <v>569</v>
      </c>
      <c r="F877" t="s">
        <v>610</v>
      </c>
    </row>
    <row r="878" spans="1:6">
      <c r="A878" t="s">
        <v>104</v>
      </c>
      <c r="B878" t="s">
        <v>54</v>
      </c>
      <c r="C878">
        <v>23</v>
      </c>
      <c r="D878">
        <v>5</v>
      </c>
      <c r="E878" t="s">
        <v>569</v>
      </c>
      <c r="F878" t="s">
        <v>611</v>
      </c>
    </row>
    <row r="879" spans="1:6">
      <c r="A879" t="s">
        <v>215</v>
      </c>
      <c r="B879" t="s">
        <v>104</v>
      </c>
      <c r="C879">
        <v>32</v>
      </c>
      <c r="D879">
        <v>5</v>
      </c>
      <c r="E879" t="s">
        <v>569</v>
      </c>
      <c r="F879" t="s">
        <v>610</v>
      </c>
    </row>
    <row r="880" spans="1:6">
      <c r="A880" t="s">
        <v>215</v>
      </c>
      <c r="B880" t="s">
        <v>54</v>
      </c>
      <c r="C880">
        <v>37</v>
      </c>
      <c r="D880">
        <v>5</v>
      </c>
      <c r="E880" t="s">
        <v>569</v>
      </c>
      <c r="F880" t="s">
        <v>611</v>
      </c>
    </row>
    <row r="881" spans="1:6">
      <c r="A881" t="s">
        <v>63</v>
      </c>
      <c r="B881" t="s">
        <v>104</v>
      </c>
      <c r="C881">
        <v>20</v>
      </c>
      <c r="D881">
        <v>5</v>
      </c>
      <c r="E881" t="s">
        <v>569</v>
      </c>
      <c r="F881" t="s">
        <v>610</v>
      </c>
    </row>
    <row r="882" spans="1:6">
      <c r="A882" t="s">
        <v>63</v>
      </c>
      <c r="B882" t="s">
        <v>54</v>
      </c>
      <c r="C882">
        <v>34</v>
      </c>
      <c r="D882">
        <v>5</v>
      </c>
      <c r="E882" t="s">
        <v>569</v>
      </c>
      <c r="F882" t="s">
        <v>611</v>
      </c>
    </row>
    <row r="883" spans="1:6">
      <c r="A883" t="s">
        <v>34</v>
      </c>
      <c r="B883" t="s">
        <v>54</v>
      </c>
      <c r="C883">
        <v>9</v>
      </c>
      <c r="D883">
        <v>5</v>
      </c>
      <c r="E883" t="s">
        <v>569</v>
      </c>
      <c r="F883" t="s">
        <v>611</v>
      </c>
    </row>
    <row r="884" spans="1:6">
      <c r="A884" t="s">
        <v>34</v>
      </c>
      <c r="B884" t="s">
        <v>104</v>
      </c>
      <c r="C884">
        <v>38</v>
      </c>
      <c r="D884">
        <v>5</v>
      </c>
      <c r="E884" t="s">
        <v>569</v>
      </c>
      <c r="F884" t="s">
        <v>610</v>
      </c>
    </row>
    <row r="885" spans="1:6">
      <c r="A885" t="s">
        <v>158</v>
      </c>
      <c r="B885" t="s">
        <v>54</v>
      </c>
      <c r="C885">
        <v>15</v>
      </c>
      <c r="D885">
        <v>5</v>
      </c>
      <c r="E885" t="s">
        <v>569</v>
      </c>
      <c r="F885" t="s">
        <v>611</v>
      </c>
    </row>
    <row r="886" spans="1:6">
      <c r="A886" t="s">
        <v>91</v>
      </c>
      <c r="B886" t="s">
        <v>104</v>
      </c>
      <c r="C886">
        <v>28</v>
      </c>
      <c r="D886">
        <v>5</v>
      </c>
      <c r="E886" t="s">
        <v>569</v>
      </c>
      <c r="F886" t="s">
        <v>610</v>
      </c>
    </row>
    <row r="887" spans="1:6">
      <c r="A887" t="s">
        <v>91</v>
      </c>
      <c r="B887" t="s">
        <v>54</v>
      </c>
      <c r="C887">
        <v>32</v>
      </c>
      <c r="D887">
        <v>5</v>
      </c>
      <c r="E887" t="s">
        <v>569</v>
      </c>
      <c r="F887" t="s">
        <v>611</v>
      </c>
    </row>
    <row r="888" spans="1:6">
      <c r="A888" t="s">
        <v>50</v>
      </c>
      <c r="B888" t="s">
        <v>104</v>
      </c>
      <c r="C888">
        <v>8</v>
      </c>
      <c r="D888">
        <v>5</v>
      </c>
      <c r="E888" t="s">
        <v>569</v>
      </c>
      <c r="F888" t="s">
        <v>610</v>
      </c>
    </row>
    <row r="889" spans="1:6">
      <c r="A889" t="s">
        <v>50</v>
      </c>
      <c r="B889" t="s">
        <v>54</v>
      </c>
      <c r="C889">
        <v>28</v>
      </c>
      <c r="D889">
        <v>5</v>
      </c>
      <c r="E889" t="s">
        <v>569</v>
      </c>
      <c r="F889" t="s">
        <v>611</v>
      </c>
    </row>
    <row r="890" spans="1:6">
      <c r="A890" t="s">
        <v>149</v>
      </c>
      <c r="B890" t="s">
        <v>54</v>
      </c>
      <c r="C890">
        <v>11</v>
      </c>
      <c r="D890">
        <v>5</v>
      </c>
      <c r="E890" t="s">
        <v>569</v>
      </c>
      <c r="F890" t="s">
        <v>611</v>
      </c>
    </row>
    <row r="891" spans="1:6">
      <c r="A891" t="s">
        <v>149</v>
      </c>
      <c r="B891" t="s">
        <v>104</v>
      </c>
      <c r="C891">
        <v>26</v>
      </c>
      <c r="D891">
        <v>5</v>
      </c>
      <c r="E891" t="s">
        <v>569</v>
      </c>
      <c r="F891" t="s">
        <v>610</v>
      </c>
    </row>
    <row r="892" spans="1:6">
      <c r="A892" t="s">
        <v>45</v>
      </c>
      <c r="B892" t="s">
        <v>104</v>
      </c>
      <c r="C892">
        <v>10</v>
      </c>
      <c r="D892">
        <v>5</v>
      </c>
      <c r="E892" t="s">
        <v>569</v>
      </c>
      <c r="F892" t="s">
        <v>610</v>
      </c>
    </row>
    <row r="893" spans="1:6">
      <c r="A893" t="s">
        <v>45</v>
      </c>
      <c r="B893" t="s">
        <v>54</v>
      </c>
      <c r="C893">
        <v>16</v>
      </c>
      <c r="D893">
        <v>5</v>
      </c>
      <c r="E893" t="s">
        <v>569</v>
      </c>
      <c r="F893" t="s">
        <v>611</v>
      </c>
    </row>
    <row r="894" spans="1:6">
      <c r="A894" t="s">
        <v>66</v>
      </c>
      <c r="B894" t="s">
        <v>54</v>
      </c>
      <c r="C894">
        <v>7</v>
      </c>
      <c r="D894">
        <v>5</v>
      </c>
      <c r="E894" t="s">
        <v>569</v>
      </c>
      <c r="F894" t="s">
        <v>611</v>
      </c>
    </row>
    <row r="895" spans="1:6">
      <c r="A895" t="s">
        <v>66</v>
      </c>
      <c r="B895" t="s">
        <v>104</v>
      </c>
      <c r="C895">
        <v>19</v>
      </c>
      <c r="D895">
        <v>5</v>
      </c>
      <c r="E895" t="s">
        <v>569</v>
      </c>
      <c r="F895" t="s">
        <v>610</v>
      </c>
    </row>
    <row r="896" spans="1:6">
      <c r="A896" t="s">
        <v>22</v>
      </c>
      <c r="B896" t="s">
        <v>104</v>
      </c>
      <c r="C896">
        <v>6</v>
      </c>
      <c r="D896">
        <v>5</v>
      </c>
      <c r="E896" t="s">
        <v>569</v>
      </c>
      <c r="F896" t="s">
        <v>610</v>
      </c>
    </row>
    <row r="897" spans="1:6">
      <c r="A897" t="s">
        <v>22</v>
      </c>
      <c r="B897" t="s">
        <v>54</v>
      </c>
      <c r="C897">
        <v>13</v>
      </c>
      <c r="D897">
        <v>5</v>
      </c>
      <c r="E897" t="s">
        <v>569</v>
      </c>
      <c r="F897" t="s">
        <v>611</v>
      </c>
    </row>
    <row r="898" spans="1:6">
      <c r="A898" t="s">
        <v>117</v>
      </c>
      <c r="B898" t="s">
        <v>104</v>
      </c>
      <c r="C898">
        <v>24</v>
      </c>
      <c r="D898">
        <v>5</v>
      </c>
      <c r="E898" t="s">
        <v>569</v>
      </c>
      <c r="F898" t="s">
        <v>610</v>
      </c>
    </row>
    <row r="899" spans="1:6">
      <c r="A899" t="s">
        <v>117</v>
      </c>
      <c r="B899" t="s">
        <v>54</v>
      </c>
      <c r="C899">
        <v>35</v>
      </c>
      <c r="D899">
        <v>5</v>
      </c>
      <c r="E899" t="s">
        <v>569</v>
      </c>
      <c r="F899" t="s">
        <v>611</v>
      </c>
    </row>
    <row r="900" spans="1:6">
      <c r="A900" t="s">
        <v>54</v>
      </c>
      <c r="B900" t="s">
        <v>104</v>
      </c>
      <c r="C900">
        <v>12</v>
      </c>
      <c r="D900">
        <v>5</v>
      </c>
      <c r="E900" t="s">
        <v>569</v>
      </c>
      <c r="F900" t="s">
        <v>610</v>
      </c>
    </row>
    <row r="901" spans="1:6">
      <c r="A901" t="s">
        <v>177</v>
      </c>
      <c r="B901" t="s">
        <v>104</v>
      </c>
      <c r="C901">
        <v>16</v>
      </c>
      <c r="D901">
        <v>5</v>
      </c>
      <c r="E901" t="s">
        <v>569</v>
      </c>
      <c r="F901" t="s">
        <v>610</v>
      </c>
    </row>
    <row r="902" spans="1:6">
      <c r="A902" t="s">
        <v>177</v>
      </c>
      <c r="B902" t="s">
        <v>54</v>
      </c>
      <c r="C902">
        <v>30</v>
      </c>
      <c r="D902">
        <v>5</v>
      </c>
      <c r="E902" t="s">
        <v>569</v>
      </c>
      <c r="F902" t="s">
        <v>611</v>
      </c>
    </row>
    <row r="903" spans="1:6">
      <c r="A903" t="s">
        <v>80</v>
      </c>
      <c r="B903" t="s">
        <v>104</v>
      </c>
      <c r="C903">
        <v>22</v>
      </c>
      <c r="D903">
        <v>5</v>
      </c>
      <c r="E903" t="s">
        <v>569</v>
      </c>
      <c r="F903" t="s">
        <v>610</v>
      </c>
    </row>
    <row r="904" spans="1:6">
      <c r="A904" t="s">
        <v>80</v>
      </c>
      <c r="B904" t="s">
        <v>54</v>
      </c>
      <c r="C904">
        <v>26</v>
      </c>
      <c r="D904">
        <v>5</v>
      </c>
      <c r="E904" t="s">
        <v>569</v>
      </c>
      <c r="F904" t="s">
        <v>611</v>
      </c>
    </row>
    <row r="905" spans="1:6">
      <c r="A905" t="s">
        <v>170</v>
      </c>
      <c r="B905" t="s">
        <v>54</v>
      </c>
      <c r="C905">
        <v>21</v>
      </c>
      <c r="D905">
        <v>5</v>
      </c>
      <c r="E905" t="s">
        <v>569</v>
      </c>
      <c r="F905" t="s">
        <v>611</v>
      </c>
    </row>
    <row r="906" spans="1:6">
      <c r="A906" t="s">
        <v>170</v>
      </c>
      <c r="B906" t="s">
        <v>104</v>
      </c>
      <c r="C906">
        <v>36</v>
      </c>
      <c r="D906">
        <v>5</v>
      </c>
      <c r="E906" t="s">
        <v>569</v>
      </c>
      <c r="F906" t="s">
        <v>610</v>
      </c>
    </row>
    <row r="907" spans="1:6">
      <c r="A907" t="s">
        <v>165</v>
      </c>
      <c r="B907" t="s">
        <v>104</v>
      </c>
      <c r="C907">
        <v>30</v>
      </c>
      <c r="D907">
        <v>5</v>
      </c>
      <c r="E907" t="s">
        <v>569</v>
      </c>
      <c r="F907" t="s">
        <v>610</v>
      </c>
    </row>
    <row r="908" spans="1:6">
      <c r="A908" t="s">
        <v>122</v>
      </c>
      <c r="B908" t="s">
        <v>54</v>
      </c>
      <c r="C908">
        <v>19</v>
      </c>
      <c r="D908">
        <v>5</v>
      </c>
      <c r="E908" t="s">
        <v>569</v>
      </c>
      <c r="F908" t="s">
        <v>611</v>
      </c>
    </row>
    <row r="909" spans="1:6">
      <c r="A909" t="s">
        <v>122</v>
      </c>
      <c r="B909" t="s">
        <v>104</v>
      </c>
      <c r="C909">
        <v>34</v>
      </c>
      <c r="D909">
        <v>5</v>
      </c>
      <c r="E909" t="s">
        <v>569</v>
      </c>
      <c r="F909" t="s">
        <v>610</v>
      </c>
    </row>
  </sheetData>
  <phoneticPr fontId="3" type="noConversion"/>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490E8-BBF6-4F03-985C-FD1AEC5AFB75}">
  <sheetPr>
    <tabColor rgb="FF8C8F8A"/>
  </sheetPr>
  <dimension ref="A1:F2"/>
  <sheetViews>
    <sheetView workbookViewId="0">
      <selection sqref="A1:F2"/>
    </sheetView>
  </sheetViews>
  <sheetFormatPr defaultRowHeight="15"/>
  <cols>
    <col min="1" max="1" width="15.5703125" bestFit="1" customWidth="1"/>
    <col min="2" max="2" width="16.140625" bestFit="1" customWidth="1"/>
    <col min="3" max="3" width="15.140625" bestFit="1" customWidth="1"/>
    <col min="4" max="4" width="21.140625" bestFit="1" customWidth="1"/>
    <col min="5" max="5" width="19" bestFit="1" customWidth="1"/>
    <col min="6" max="6" width="20" bestFit="1" customWidth="1"/>
  </cols>
  <sheetData>
    <row r="1" spans="1:6">
      <c r="A1" t="s">
        <v>555</v>
      </c>
      <c r="B1" t="s">
        <v>556</v>
      </c>
      <c r="C1" t="s">
        <v>557</v>
      </c>
      <c r="D1" t="s">
        <v>558</v>
      </c>
      <c r="E1" t="s">
        <v>559</v>
      </c>
      <c r="F1" t="s">
        <v>560</v>
      </c>
    </row>
    <row r="2" spans="1:6">
      <c r="A2" s="8">
        <v>46292.509409722225</v>
      </c>
      <c r="B2">
        <v>4230</v>
      </c>
      <c r="C2">
        <v>50</v>
      </c>
      <c r="D2">
        <v>3216</v>
      </c>
      <c r="E2">
        <v>5</v>
      </c>
      <c r="F2" t="s">
        <v>561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053BF6-D508-47B9-B04F-99813FD97C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Briefing</vt:lpstr>
      <vt:lpstr>Fixture Ticker</vt:lpstr>
      <vt:lpstr>Watchlist</vt:lpstr>
      <vt:lpstr>Data</vt:lpstr>
      <vt:lpstr>Refresh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Punit Singh</dc:creator>
  <cp:lastModifiedBy>Punit Singh</cp:lastModifiedBy>
  <dcterms:created xsi:type="dcterms:W3CDTF">2026-09-25T22:20:32Z</dcterms:created>
  <dcterms:modified xsi:type="dcterms:W3CDTF">2026-09-27T18:47:38Z</dcterms:modified>
</cp:coreProperties>
</file>